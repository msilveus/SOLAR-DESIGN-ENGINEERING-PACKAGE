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8f3039126e49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Dashboard" sheetId="1" r:id="Rf940dd9f596443ac"/>
    <x:sheet xmlns:r="http://schemas.openxmlformats.org/officeDocument/2006/relationships" name="02_Build" sheetId="2" r:id="Rca288f88c8b24a48"/>
    <x:sheet xmlns:r="http://schemas.openxmlformats.org/officeDocument/2006/relationships" name="03_Layout_Designer" sheetId="3" r:id="R57ce590c3fb24481"/>
    <x:sheet xmlns:r="http://schemas.openxmlformats.org/officeDocument/2006/relationships" name="04_Shade_Optimizer" sheetId="4" r:id="R1db28279c8bf4e0f"/>
    <x:sheet xmlns:r="http://schemas.openxmlformats.org/officeDocument/2006/relationships" name="05_Design_Review" sheetId="5" r:id="Rc04bb93b2f64403a"/>
    <x:sheet xmlns:r="http://schemas.openxmlformats.org/officeDocument/2006/relationships" name="DB_Panels" sheetId="6" r:id="R6924287f77304a77"/>
    <x:sheet xmlns:r="http://schemas.openxmlformats.org/officeDocument/2006/relationships" name="DB_Inverters" sheetId="7" r:id="Ra8586fe2c881432e"/>
    <x:sheet xmlns:r="http://schemas.openxmlformats.org/officeDocument/2006/relationships" name="DB_Batteries" sheetId="8" r:id="Rc96526c236554ea6"/>
    <x:sheet xmlns:r="http://schemas.openxmlformats.org/officeDocument/2006/relationships" name="DB_Lists" sheetId="9" r:id="R23e6d402635c433b"/>
    <x:sheet xmlns:r="http://schemas.openxmlformats.org/officeDocument/2006/relationships" name="Notes" sheetId="10" r:id="R965d338736a04198"/>
    <x:sheet xmlns:r="http://schemas.openxmlformats.org/officeDocument/2006/relationships" name="00_CSV_Import" sheetId="11" r:id="R520712bb2d3848ba"/>
  </x:sheets>
</x:workbook>
</file>

<file path=xl/sharedStrings.xml><?xml version="1.0" encoding="utf-8"?>
<x:sst xmlns:x="http://schemas.openxmlformats.org/spreadsheetml/2006/main">
  <x:si>
    <x:t xml:space="preserve">SOLAR DESIGN ENGINEERING PACKAGE — DASHBOARD</x:t>
  </x:si>
  <x:si>
    <x:t xml:space="preserve">Current Design</x:t>
  </x:si>
  <x:si>
    <x:t xml:space="preserve">Design Status</x:t>
  </x:si>
  <x:si>
    <x:t xml:space="preserve">Project</x:t>
  </x:si>
  <x:si>
    <x:t xml:space="preserve">Electrical</x:t>
  </x:si>
  <x:si>
    <x:t xml:space="preserve">Panel</x:t>
  </x:si>
  <x:si>
    <x:t xml:space="preserve">Layout</x:t>
  </x:si>
  <x:si>
    <x:t xml:space="preserve">Column-based strings</x:t>
  </x:si>
  <x:si>
    <x:t xml:space="preserve">Inverter</x:t>
  </x:si>
  <x:si>
    <x:t xml:space="preserve">Shade</x:t>
  </x:si>
  <x:si>
    <x:t xml:space="preserve">First-pass model</x:t>
  </x:si>
  <x:si>
    <x:t xml:space="preserve">Battery</x:t>
  </x:si>
  <x:si>
    <x:t xml:space="preserve">Cost</x:t>
  </x:si>
  <x:si>
    <x:t xml:space="preserve">Hardware estimate only</x:t>
  </x:si>
  <x:si>
    <x:t xml:space="preserve">Battery Qty</x:t>
  </x:si>
  <x:si>
    <x:t xml:space="preserve">Mechanical</x:t>
  </x:si>
  <x:si>
    <x:t xml:space="preserve">Engineer review required</x:t>
  </x:si>
  <x:si>
    <x:t xml:space="preserve">Array Layout</x:t>
  </x:si>
  <x:si>
    <x:t xml:space="preserve">Next Step</x:t>
  </x:si>
  <x:si>
    <x:t xml:space="preserve">Validate rack height/wind loading</x:t>
  </x:si>
  <x:si>
    <x:t xml:space="preserve">DC Array kW</x:t>
  </x:si>
  <x:si>
    <x:t xml:space="preserve">Battery Storage kWh</x:t>
  </x:si>
  <x:si>
    <x:t xml:space="preserve">Estimated Hardware $</x:t>
  </x:si>
  <x:si>
    <x:t xml:space="preserve">Electrical Status</x:t>
  </x:si>
  <x:si>
    <x:t xml:space="preserve">SOLAR DESIGN ENGINEERING PACKAGE — BUILD PAGE v4.0</x:t>
  </x:si>
  <x:si>
    <x:t xml:space="preserve">Design Inputs</x:t>
  </x:si>
  <x:si>
    <x:t xml:space="preserve">Selected Equipment Values</x:t>
  </x:si>
  <x:si>
    <x:t xml:space="preserve">Live Engineering Summary</x:t>
  </x:si>
  <x:si>
    <x:t xml:space="preserve">Check</x:t>
  </x:si>
  <x:si>
    <x:t xml:space="preserve">Calculated</x:t>
  </x:si>
  <x:si>
    <x:t xml:space="preserve">Limit</x:t>
  </x:si>
  <x:si>
    <x:t xml:space="preserve">Status</x:t>
  </x:si>
  <x:si>
    <x:t xml:space="preserve">44755 Savage Rd, Coarsegold CA</x:t>
  </x:si>
  <x:si>
    <x:t xml:space="preserve">Panel W</x:t>
  </x:si>
  <x:si>
    <x:t xml:space="preserve">Total Panels</x:t>
  </x:si>
  <x:si>
    <x:t xml:space="preserve">String Vmp</x:t>
  </x:si>
  <x:si>
    <x:t xml:space="preserve">Panel Model</x:t>
  </x:si>
  <x:si>
    <x:t xml:space="preserve">REC Alpha Pure-RX 460</x:t>
  </x:si>
  <x:si>
    <x:t xml:space="preserve">Panel Voc</x:t>
  </x:si>
  <x:si>
    <x:t xml:space="preserve">Cold Voc</x:t>
  </x:si>
  <x:si>
    <x:t xml:space="preserve">Sol-Ark 18K-2P-LV</x:t>
  </x:si>
  <x:si>
    <x:t xml:space="preserve">Panel Vmp</x:t>
  </x:si>
  <x:si>
    <x:t xml:space="preserve">MPPT Current</x:t>
  </x:si>
  <x:si>
    <x:t xml:space="preserve">Discover Helios ESS</x:t>
  </x:si>
  <x:si>
    <x:t xml:space="preserve">Panel Isc</x:t>
  </x:si>
  <x:si>
    <x:t xml:space="preserve">Cold String Voc</x:t>
  </x:si>
  <x:si>
    <x:t xml:space="preserve">MPPT Isc</x:t>
  </x:si>
  <x:si>
    <x:t xml:space="preserve">Panel Imp</x:t>
  </x:si>
  <x:si>
    <x:t xml:space="preserve">MPPT Operating Current</x:t>
  </x:si>
  <x:si>
    <x:t xml:space="preserve">MPPT Count</x:t>
  </x:si>
  <x:si>
    <x:t xml:space="preserve">Orientation</x:t>
  </x:si>
  <x:si>
    <x:t xml:space="preserve">Portrait</x:t>
  </x:si>
  <x:si>
    <x:t xml:space="preserve">Voc Temp %/C</x:t>
  </x:si>
  <x:si>
    <x:t xml:space="preserve">MPPT Short-Circuit Current</x:t>
  </x:si>
  <x:si>
    <x:t xml:space="preserve">Mount Type</x:t>
  </x:si>
  <x:si>
    <x:t xml:space="preserve">Single Mount</x:t>
  </x:si>
  <x:si>
    <x:t xml:space="preserve">Panel Length ft</x:t>
  </x:si>
  <x:si>
    <x:t xml:space="preserve">Power per MPPT kW</x:t>
  </x:si>
  <x:si>
    <x:t xml:space="preserve">Rows High</x:t>
  </x:si>
  <x:si>
    <x:t xml:space="preserve">Panel Width ft</x:t>
  </x:si>
  <x:si>
    <x:t xml:space="preserve">Columns Wide</x:t>
  </x:si>
  <x:si>
    <x:t xml:space="preserve">Panel Cost</x:t>
  </x:si>
  <x:si>
    <x:t xml:space="preserve">Banks</x:t>
  </x:si>
  <x:si>
    <x:t xml:space="preserve">Inv MPPT Min</x:t>
  </x:si>
  <x:si>
    <x:t xml:space="preserve">Cost per DC Watt</x:t>
  </x:si>
  <x:si>
    <x:t xml:space="preserve">Tilt °</x:t>
  </x:si>
  <x:si>
    <x:t xml:space="preserve">Inv MPPT Max</x:t>
  </x:si>
  <x:si>
    <x:t xml:space="preserve">Azimuth °</x:t>
  </x:si>
  <x:si>
    <x:t xml:space="preserve">Inv Max Voc</x:t>
  </x:si>
  <x:si>
    <x:t xml:space="preserve">Design Temp °C</x:t>
  </x:si>
  <x:si>
    <x:t xml:space="preserve">Inv Max Op A</x:t>
  </x:si>
  <x:si>
    <x:t xml:space="preserve">Array Width ft</x:t>
  </x:si>
  <x:si>
    <x:t xml:space="preserve">Panels/String</x:t>
  </x:si>
  <x:si>
    <x:t xml:space="preserve">Inv Max Isc A</x:t>
  </x:si>
  <x:si>
    <x:t xml:space="preserve">Sloped Array Height ft</x:t>
  </x:si>
  <x:si>
    <x:t xml:space="preserve">Total Strings</x:t>
  </x:si>
  <x:si>
    <x:t xml:space="preserve">Inv MPPT Count</x:t>
  </x:si>
  <x:si>
    <x:t xml:space="preserve">Ground Depth ft</x:t>
  </x:si>
  <x:si>
    <x:t xml:space="preserve">Strings/MPPT</x:t>
  </x:si>
  <x:si>
    <x:t xml:space="preserve">Inv Cost</x:t>
  </x:si>
  <x:si>
    <x:t xml:space="preserve">Rear Edge Rise ft</x:t>
  </x:si>
  <x:si>
    <x:t xml:space="preserve">MPPT Mode</x:t>
  </x:si>
  <x:si>
    <x:t xml:space="preserve">Manual</x:t>
  </x:si>
  <x:si>
    <x:t xml:space="preserve">Battery kWh</x:t>
  </x:si>
  <x:si>
    <x:t xml:space="preserve">BOS Estimate $</x:t>
  </x:si>
  <x:si>
    <x:t xml:space="preserve">Battery Cost</x:t>
  </x:si>
  <x:si>
    <x:t xml:space="preserve">Layout Note</x:t>
  </x:si>
  <x:si>
    <x:t xml:space="preserve">Visual Array Builder — default 3×12 column strings (change string IDs in cells)</x:t>
  </x:si>
  <x:si>
    <x:t xml:space="preserve">S1</x:t>
  </x:si>
  <x:si>
    <x:t xml:space="preserve">S2</x:t>
  </x:si>
  <x:si>
    <x:t xml:space="preserve">S3</x:t>
  </x:si>
  <x:si>
    <x:t xml:space="preserve">S4</x:t>
  </x:si>
  <x:si>
    <x:t xml:space="preserve">S5</x:t>
  </x:si>
  <x:si>
    <x:t xml:space="preserve">S6</x:t>
  </x:si>
  <x:si>
    <x:t xml:space="preserve">String</x:t>
  </x:si>
  <x:si>
    <x:t xml:space="preserve">Physical Zone</x:t>
  </x:si>
  <x:si>
    <x:t xml:space="preserve">MPPT</x:t>
  </x:si>
  <x:si>
    <x:t xml:space="preserve">Shade Pairing Rationale</x:t>
  </x:si>
  <x:si>
    <x:t xml:space="preserve">West edge columns 1-2</x:t>
  </x:si>
  <x:si>
    <x:t xml:space="preserve">MPPT1</x:t>
  </x:si>
  <x:si>
    <x:t xml:space="preserve">Pair west edge with east edge</x:t>
  </x:si>
  <x:si>
    <x:t xml:space="preserve">West-center columns 3-4</x:t>
  </x:si>
  <x:si>
    <x:t xml:space="preserve">MPPT2</x:t>
  </x:si>
  <x:si>
    <x:t xml:space="preserve">Pair symmetric inward zones</x:t>
  </x:si>
  <x:si>
    <x:t xml:space="preserve">Center-west columns 5-6</x:t>
  </x:si>
  <x:si>
    <x:t xml:space="preserve">MPPT3</x:t>
  </x:si>
  <x:si>
    <x:t xml:space="preserve">Pair center strings</x:t>
  </x:si>
  <x:si>
    <x:t xml:space="preserve">Center-east columns 7-8</x:t>
  </x:si>
  <x:si>
    <x:t xml:space="preserve">East-center columns 9-10</x:t>
  </x:si>
  <x:si>
    <x:t xml:space="preserve">East edge columns 11-12</x:t>
  </x:si>
  <x:si>
    <x:t xml:space="preserve">Pair east edge with west edge</x:t>
  </x:si>
  <x:si>
    <x:t xml:space="preserve">Design rationale: default strings are vertical column groups so east/west tree shadows tend to affect one string group at a time rather than clipping every row simultaneously. MPPT pairs are symmetric west/east to reduce the chance that a single edge shadow drags down both strings on the same tracker.</x:t>
  </x:si>
  <x:si>
    <x:t xml:space="preserve">LAYOUT DESIGNER — Mechanical + Electrical Topology</x:t>
  </x:si>
  <x:si>
    <x:t xml:space="preserve">Inputs linked from Build</x:t>
  </x:si>
  <x:si>
    <x:t xml:space="preserve">Panel Map / String Topology</x:t>
  </x:si>
  <x:si>
    <x:t xml:space="preserve">Sloped Height ft</x:t>
  </x:si>
  <x:si>
    <x:t xml:space="preserve">Rear Rise ft</x:t>
  </x:si>
  <x:si>
    <x:t xml:space="preserve">Layout Comparisons</x:t>
  </x:si>
  <x:si>
    <x:t xml:space="preserve">Option</x:t>
  </x:si>
  <x:si>
    <x:t xml:space="preserve">Rows</x:t>
  </x:si>
  <x:si>
    <x:t xml:space="preserve">Cols</x:t>
  </x:si>
  <x:si>
    <x:t xml:space="preserve">Panels</x:t>
  </x:si>
  <x:si>
    <x:t xml:space="preserve">Width ft</x:t>
  </x:si>
  <x:si>
    <x:t xml:space="preserve">String Fit</x:t>
  </x:si>
  <x:si>
    <x:t xml:space="preserve">Notes</x:t>
  </x:si>
  <x:si>
    <x:t xml:space="preserve">3×12 single mount</x:t>
  </x:si>
  <x:si>
    <x:t xml:space="preserve">Clean 6 strings</x:t>
  </x:si>
  <x:si>
    <x:t xml:space="preserve">Compact width; taller rear edge</x:t>
  </x:si>
  <x:si>
    <x:t xml:space="preserve">Landscape</x:t>
  </x:si>
  <x:si>
    <x:t xml:space="preserve">Lower rear edge; wider footprint</x:t>
  </x:si>
  <x:si>
    <x:t xml:space="preserve">2×18 single mount</x:t>
  </x:si>
  <x:si>
    <x:t xml:space="preserve">Awkward with 6-panel column strings</x:t>
  </x:si>
  <x:si>
    <x:t xml:space="preserve">Lower but wider; strings may traverse zones</x:t>
  </x:si>
  <x:si>
    <x:t xml:space="preserve">2 banks of 2×9</x:t>
  </x:si>
  <x:si>
    <x:t xml:space="preserve">Likely awkward string crossing</x:t>
  </x:si>
  <x:si>
    <x:t xml:space="preserve">Needs bank spacing; less desirable electrically</x:t>
  </x:si>
  <x:si>
    <x:t xml:space="preserve">SHADE OPTIMIZER — First Iteration / Conceptual Model</x:t>
  </x:si>
  <x:si>
    <x:t xml:space="preserve">Shade Inputs</x:t>
  </x:si>
  <x:si>
    <x:t xml:space="preserve">String Impact Estimate</x:t>
  </x:si>
  <x:si>
    <x:t xml:space="preserve">Time Scenario</x:t>
  </x:si>
  <x:si>
    <x:t xml:space="preserve">Morning West Edge</x:t>
  </x:si>
  <x:si>
    <x:t xml:space="preserve">Columns</x:t>
  </x:si>
  <x:si>
    <x:t xml:space="preserve">Shade Hit?</x:t>
  </x:si>
  <x:si>
    <x:t xml:space="preserve">Est Power %</x:t>
  </x:si>
  <x:si>
    <x:t xml:space="preserve">Assigned MPPT</x:t>
  </x:si>
  <x:si>
    <x:t xml:space="preserve">Shadowed Columns</x:t>
  </x:si>
  <x:si>
    <x:t xml:space="preserve">1-2</x:t>
  </x:si>
  <x:si>
    <x:t xml:space="preserve">Power of shaded panel/string %</x:t>
  </x:si>
  <x:si>
    <x:t xml:space="preserve">3-4</x:t>
  </x:si>
  <x:si>
    <x:t xml:space="preserve">Unshaded power %</x:t>
  </x:si>
  <x:si>
    <x:t xml:space="preserve">5-6</x:t>
  </x:si>
  <x:si>
    <x:t xml:space="preserve">String strategy</x:t>
  </x:si>
  <x:si>
    <x:t xml:space="preserve">Column Groups</x:t>
  </x:si>
  <x:si>
    <x:t xml:space="preserve">7-8</x:t>
  </x:si>
  <x:si>
    <x:t xml:space="preserve">9-10</x:t>
  </x:si>
  <x:si>
    <x:t xml:space="preserve">11-12</x:t>
  </x:si>
  <x:si>
    <x:t xml:space="preserve">String A</x:t>
  </x:si>
  <x:si>
    <x:t xml:space="preserve">String B</x:t>
  </x:si>
  <x:si>
    <x:t xml:space="preserve">Avg Power %</x:t>
  </x:si>
  <x:si>
    <x:t xml:space="preserve">Comment</x:t>
  </x:si>
  <x:si>
    <x:t xml:space="preserve">Symmetric edge pairing</x:t>
  </x:si>
  <x:si>
    <x:t xml:space="preserve">Symmetric mid pairing</x:t>
  </x:si>
  <x:si>
    <x:t xml:space="preserve">Center pairing</x:t>
  </x:si>
  <x:si>
    <x:t xml:space="preserve">This is a first-pass shade model. It is not a production simulator yet. Its purpose is to compare string topologies under edge-shadow behavior. Next iteration can add tree distance/height, solar azimuth, and a time slider.</x:t>
  </x:si>
  <x:si>
    <x:t xml:space="preserve">DESIGN REVIEW CHECKLIST</x:t>
  </x:si>
  <x:si>
    <x:t xml:space="preserve">Area</x:t>
  </x:si>
  <x:si>
    <x:t xml:space="preserve">String Vmp inside MPPT range</x:t>
  </x:si>
  <x:si>
    <x:t xml:space="preserve">Cold Voc below inverter max</x:t>
  </x:si>
  <x:si>
    <x:t xml:space="preserve">MPPT operating current below max</x:t>
  </x:si>
  <x:si>
    <x:t xml:space="preserve">MPPT Isc below max</x:t>
  </x:si>
  <x:si>
    <x:t xml:space="preserve">Column-based strings selected</x:t>
  </x:si>
  <x:si>
    <x:t xml:space="preserve">PASS</x:t>
  </x:si>
  <x:si>
    <x:t xml:space="preserve">Chosen for east/west edge-shadow tolerance</x:t>
  </x:si>
  <x:si>
    <x:t xml:space="preserve">3×12 single mount under review</x:t>
  </x:si>
  <x:si>
    <x:t xml:space="preserve">REVIEW</x:t>
  </x:si>
  <x:si>
    <x:t xml:space="preserve">Verify rear-edge height/wind load with engineer</x:t>
  </x:si>
  <x:si>
    <x:t xml:space="preserve">Battery integration</x:t>
  </x:si>
  <x:si>
    <x:t xml:space="preserve">Confirm Discover/Sol-Ark firmware and wiring kit</x:t>
  </x:si>
  <x:si>
    <x:t xml:space="preserve">Foundation/racking</x:t>
  </x:si>
  <x:si>
    <x:t xml:space="preserve">Requires structural engineer</x:t>
  </x:si>
  <x:si>
    <x:t xml:space="preserve">Site</x:t>
  </x:si>
  <x:si>
    <x:t xml:space="preserve">Tree removal/shading</x:t>
  </x:si>
  <x:si>
    <x:t xml:space="preserve">Measure tree heights and sun window after escrow</x:t>
  </x:si>
  <x:si>
    <x:t xml:space="preserve">Manufacturer</x:t>
  </x:si>
  <x:si>
    <x:t xml:space="preserve">Model</x:t>
  </x:si>
  <x:si>
    <x:t xml:space="preserve">STC W</x:t>
  </x:si>
  <x:si>
    <x:t xml:space="preserve">Voc V</x:t>
  </x:si>
  <x:si>
    <x:t xml:space="preserve">Vmp V</x:t>
  </x:si>
  <x:si>
    <x:t xml:space="preserve">Isc A</x:t>
  </x:si>
  <x:si>
    <x:t xml:space="preserve">Imp A</x:t>
  </x:si>
  <x:si>
    <x:t xml:space="preserve">Pmax Temp %/C</x:t>
  </x:si>
  <x:si>
    <x:t xml:space="preserve">Length mm</x:t>
  </x:si>
  <x:si>
    <x:t xml:space="preserve">Width mm</x:t>
  </x:si>
  <x:si>
    <x:t xml:space="preserve">Weight lb</x:t>
  </x:si>
  <x:si>
    <x:t xml:space="preserve">Series Fuse A</x:t>
  </x:si>
  <x:si>
    <x:t xml:space="preserve">Max System V</x:t>
  </x:si>
  <x:si>
    <x:t xml:space="preserve">Ballpark $/panel</x:t>
  </x:si>
  <x:si>
    <x:t xml:space="preserve">Source/Notes</x:t>
  </x:si>
  <x:si>
    <x:t xml:space="preserve">REC</x:t>
  </x:si>
  <x:si>
    <x:t xml:space="preserve">Verify against current REC datasheet before purchase</x:t>
  </x:si>
  <x:si>
    <x:t xml:space="preserve">Qcells</x:t>
  </x:si>
  <x:si>
    <x:t xml:space="preserve">Q.TRON BLK M-G2+ 430</x:t>
  </x:si>
  <x:si>
    <x:t xml:space="preserve">Placeholder/current-market candidate; verify datasheet</x:t>
  </x:si>
  <x:si>
    <x:t xml:space="preserve">Canadian Solar</x:t>
  </x:si>
  <x:si>
    <x:t xml:space="preserve">HiKu6 455</x:t>
  </x:si>
  <x:si>
    <x:t xml:space="preserve">Silfab</x:t>
  </x:si>
  <x:si>
    <x:t xml:space="preserve">SIL-460/470</x:t>
  </x:si>
  <x:si>
    <x:t xml:space="preserve">Placeholder; verify exact model</x:t>
  </x:si>
  <x:si>
    <x:t xml:space="preserve">Trina</x:t>
  </x:si>
  <x:si>
    <x:t xml:space="preserve">Vertex S+ 455</x:t>
  </x:si>
  <x:si>
    <x:t xml:space="preserve">MPPT Min V</x:t>
  </x:si>
  <x:si>
    <x:t xml:space="preserve">MPPT Max V</x:t>
  </x:si>
  <x:si>
    <x:t xml:space="preserve">PV Max Voc V</x:t>
  </x:si>
  <x:si>
    <x:t xml:space="preserve">Max Operating A/MPPT</x:t>
  </x:si>
  <x:si>
    <x:t xml:space="preserve">Max Isc A/MPPT</x:t>
  </x:si>
  <x:si>
    <x:t xml:space="preserve">Max PV kW</x:t>
  </x:si>
  <x:si>
    <x:t xml:space="preserve">AC Output kW</x:t>
  </x:si>
  <x:si>
    <x:t xml:space="preserve">Ballpark $</x:t>
  </x:si>
  <x:si>
    <x:t xml:space="preserve">Sol-Ark</x:t>
  </x:si>
  <x:si>
    <x:t xml:space="preserve">Use current Sol-Ark manual/datasheet for final design</x:t>
  </x:si>
  <x:si>
    <x:t xml:space="preserve">Sol-Ark 15K</x:t>
  </x:si>
  <x:si>
    <x:t xml:space="preserve">Older/common baseline; verify manual</x:t>
  </x:si>
  <x:si>
    <x:t xml:space="preserve">Chemistry</x:t>
  </x:si>
  <x:si>
    <x:t xml:space="preserve">Usable kWh</x:t>
  </x:si>
  <x:si>
    <x:t xml:space="preserve">Nominal V</x:t>
  </x:si>
  <x:si>
    <x:t xml:space="preserve">Capacity Ah</x:t>
  </x:si>
  <x:si>
    <x:t xml:space="preserve">Cont Charge A</x:t>
  </x:si>
  <x:si>
    <x:t xml:space="preserve">Cont Discharge A</x:t>
  </x:si>
  <x:si>
    <x:t xml:space="preserve">Peak A</x:t>
  </x:si>
  <x:si>
    <x:t xml:space="preserve">Closed Loop with Sol-Ark</x:t>
  </x:si>
  <x:si>
    <x:t xml:space="preserve">Comm/Interface</x:t>
  </x:si>
  <x:si>
    <x:t xml:space="preserve">Ballpark $/battery</x:t>
  </x:si>
  <x:si>
    <x:t xml:space="preserve">Discover</x:t>
  </x:si>
  <x:si>
    <x:t xml:space="preserve">LiFePO4</x:t>
  </x:si>
  <x:si>
    <x:t xml:space="preserve">Yes</x:t>
  </x:si>
  <x:si>
    <x:t xml:space="preserve">Closed-loop / LYNK or native per current integration</x:t>
  </x:si>
  <x:si>
    <x:t xml:space="preserve">Preferred current candidate; verify integration kit/firmware</x:t>
  </x:si>
  <x:si>
    <x:t xml:space="preserve">Pytes</x:t>
  </x:si>
  <x:si>
    <x:t xml:space="preserve">Pytes V16</x:t>
  </x:si>
  <x:si>
    <x:t xml:space="preserve">CAN/RS485</x:t>
  </x:si>
  <x:si>
    <x:t xml:space="preserve">Strong alternative; verify listing with installer</x:t>
  </x:si>
  <x:si>
    <x:t xml:space="preserve">HomeGrid</x:t>
  </x:si>
  <x:si>
    <x:t xml:space="preserve">Stack'd Series 19.2</x:t>
  </x:si>
  <x:si>
    <x:t xml:space="preserve">Expandable modular system</x:t>
  </x:si>
  <x:si>
    <x:t xml:space="preserve">Fortress</x:t>
  </x:si>
  <x:si>
    <x:t xml:space="preserve">eBoost 16</x:t>
  </x:si>
  <x:si>
    <x:t xml:space="preserve">Verify</x:t>
  </x:si>
  <x:si>
    <x:t xml:space="preserve">Replacement direction for eVault; verify Sol-Ark closed loop</x:t>
  </x:si>
  <x:si>
    <x:t xml:space="preserve">String IDs</x:t>
  </x:si>
  <x:si>
    <x:t xml:space="preserve">Split Banks</x:t>
  </x:si>
  <x:si>
    <x:t xml:space="preserve">Symmetric Pairing</x:t>
  </x:si>
  <x:si>
    <x:t xml:space="preserve">Future</x:t>
  </x:si>
  <x:si>
    <x:t xml:space="preserve">Unassigned</x:t>
  </x:si>
  <x:si>
    <x:t xml:space="preserve">DESIGN NOTES / CHANGE LOG</x:t>
  </x:si>
  <x:si>
    <x:t xml:space="preserve">Date/Version</x:t>
  </x:si>
  <x:si>
    <x:t xml:space="preserve">Decision</x:t>
  </x:si>
  <x:si>
    <x:t xml:space="preserve">Rationale</x:t>
  </x:si>
  <x:si>
    <x:t xml:space="preserve">v4.0</x:t>
  </x:si>
  <x:si>
    <x:t xml:space="preserve">Architecture</x:t>
  </x:si>
  <x:si>
    <x:t xml:space="preserve">Build page redesigned as command center</x:t>
  </x:si>
  <x:si>
    <x:t xml:space="preserve">User wants whole-picture design workflow instead of jumping across sheets</x:t>
  </x:si>
  <x:si>
    <x:t xml:space="preserve">Default 3×12 single mount</x:t>
  </x:si>
  <x:si>
    <x:t xml:space="preserve">Matches 36 panels, 6 strings, and compact footprint</x:t>
  </x:si>
  <x:si>
    <x:t xml:space="preserve">Stringing</x:t>
  </x:si>
  <x:si>
    <x:t xml:space="preserve">Default column-based strings</x:t>
  </x:si>
  <x:si>
    <x:t xml:space="preserve">East/west shadows should affect one string group at a time</x:t>
  </x:si>
  <x:si>
    <x:t xml:space="preserve">MPPT pairing</x:t>
  </x:si>
  <x:si>
    <x:t xml:space="preserve">S1+S6, S2+S5, S3+S4</x:t>
  </x:si>
  <x:si>
    <x:t xml:space="preserve">Symmetric pairing balances edge-shade impacts</x:t>
  </x:si>
  <x:si>
    <x:t xml:space="preserve">Equipment</x:t>
  </x:si>
  <x:si>
    <x:t xml:space="preserve">Sol-Ark 18K + REC 460 + Discover Helios x3</x:t>
  </x:si>
  <x:si>
    <x:t xml:space="preserve">Clean voltage/current fit and battery integration candidate</x:t>
  </x:si>
</x:sst>
</file>

<file path=xl/styles.xml><?xml version="1.0" encoding="utf-8"?>
<x:styleSheet xmlns:x="http://schemas.openxmlformats.org/spreadsheetml/2006/main">
  <x:numFmts count="3">
    <x:numFmt numFmtId="164" formatCode="0.0"/>
    <x:numFmt numFmtId="165" formatCode="\$#,##0"/>
    <x:numFmt numFmtId="166" formatCode="&quot;$&quot;#,##0.00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5"/>
      <x:color rgb="FFFFFFFF"/>
      <x:name val="Carlito"/>
    </x:font>
    <x:font>
      <x:b/>
      <x:sz val="14"/>
      <x:color rgb="FFFFFFFF"/>
      <x:name val="Carlito"/>
    </x:font>
  </x:fonts>
  <x:fills count="1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0F172A"/>
      </x:patternFill>
    </x:fill>
    <x:fill>
      <x:patternFill patternType="solid">
        <x:fgColor rgb="FF0F766E"/>
      </x:patternFill>
    </x:fill>
    <x:fill>
      <x:patternFill patternType="solid">
        <x:fgColor rgb="FFE2E8F0"/>
      </x:patternFill>
    </x:fill>
    <x:fill>
      <x:patternFill patternType="solid">
        <x:fgColor rgb="FFFFFFFF"/>
      </x:patternFill>
    </x:fill>
    <x:fill>
      <x:patternFill patternType="solid">
        <x:fgColor rgb="FF334155"/>
      </x:patternFill>
    </x:fill>
    <x:fill>
      <x:patternFill patternType="solid">
        <x:fgColor rgb="FFDBEAFE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EDE9FE"/>
      </x:patternFill>
    </x:fill>
    <x:fill>
      <x:patternFill patternType="solid">
        <x:fgColor rgb="FFFCE7F3"/>
      </x:patternFill>
    </x:fill>
    <x:fill>
      <x:patternFill patternType="solid">
        <x:fgColor rgb="FFCCFBF1"/>
      </x:patternFill>
    </x:fill>
    <x:fill>
      <x:patternFill patternType="solid">
        <x:fgColor rgb="FFF1F5F9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91">
    <x:xf numFmtId="0" fontId="0" fillId="0" borderId="0" xfId="0"/>
    <x:xf numFmtId="0" fontId="0" fillId="0" borderId="0" xfId="0" applyAlignment="1">
      <x:alignment wrapText="1"/>
    </x:xf>
    <x:xf numFmtId="0" fontId="0" fillId="0" borderId="0" xfId="0" applyAlignment="1">
      <x:alignment vertical="center"/>
    </x:xf>
    <x:xf numFmtId="0" fontId="1" fillId="2" borderId="0" xfId="0" applyFont="1" applyFill="1" applyAlignment="1">
      <x:alignment vertical="center"/>
    </x:xf>
    <x:xf numFmtId="0" fontId="1" fillId="4" borderId="0" xfId="0" applyFont="1" applyFill="1" applyAlignment="1">
      <x:alignment vertical="center"/>
    </x:xf>
    <x:xf numFmtId="0" fontId="3" fillId="5" borderId="0" xfId="0" applyFont="1" applyFill="1" applyAlignment="1">
      <x:alignment vertical="center"/>
    </x:xf>
    <x:xf numFmtId="0" fontId="0" fillId="0" borderId="0" xfId="0" applyAlignment="1">
      <x:alignment vertical="center" wrapText="1"/>
    </x:xf>
    <x:xf numFmtId="0" fontId="3" fillId="5" borderId="0" xfId="0" applyFont="1" applyFill="1" applyAlignment="1">
      <x:alignment vertical="center" wrapText="1"/>
    </x:xf>
    <x:xf numFmtId="0" fontId="0" fillId="6" borderId="0" xfId="0" applyFill="1" applyAlignment="1">
      <x:alignment vertical="center" wrapText="1"/>
    </x:xf>
    <x:xf numFmtId="0" fontId="0" fillId="14" borderId="0" xfId="0" applyFill="1" applyAlignment="1">
      <x:alignment vertical="center" wrapText="1"/>
    </x:xf>
    <x:xf numFmtId="0" fontId="4" fillId="3" borderId="0" xfId="0" applyFont="1" applyFill="1" applyAlignment="1">
      <x:alignment horizontal="center" vertical="center" wrapText="1"/>
    </x:xf>
    <x:xf numFmtId="0" fontId="2" fillId="3" borderId="0" xfId="0" applyFont="1" applyFill="1" applyAlignment="1">
      <x:alignment horizontal="center" vertical="center" wrapText="1"/>
    </x:xf>
    <x:xf numFmtId="0" fontId="1" fillId="2" borderId="0" xfId="0" applyFont="1" applyFill="1" applyAlignment="1">
      <x:alignment vertical="center" wrapText="1"/>
    </x:xf>
    <x:xf numFmtId="0" fontId="1" fillId="4" borderId="0" xfId="0" applyFont="1" applyFill="1" applyAlignment="1">
      <x:alignment vertical="center" wrapText="1"/>
    </x:xf>
    <x:xf numFmtId="0" fontId="1" fillId="7" borderId="0" xfId="0" applyFont="1" applyFill="1" applyAlignment="1">
      <x:alignment vertical="center" wrapText="1"/>
    </x:xf>
    <x:xf numFmtId="0" fontId="3" fillId="8" borderId="0" xfId="0" applyFont="1" applyFill="1" applyAlignment="1">
      <x:alignment horizontal="center" vertical="center" wrapText="1"/>
    </x:xf>
    <x:xf numFmtId="0" fontId="3" fillId="9" borderId="0" xfId="0" applyFont="1" applyFill="1" applyAlignment="1">
      <x:alignment horizontal="center" vertical="center" wrapText="1"/>
    </x:xf>
    <x:xf numFmtId="0" fontId="3" fillId="10" borderId="0" xfId="0" applyFont="1" applyFill="1" applyAlignment="1">
      <x:alignment horizontal="center" vertical="center" wrapText="1"/>
    </x:xf>
    <x:xf numFmtId="0" fontId="3" fillId="11" borderId="0" xfId="0" applyFont="1" applyFill="1" applyAlignment="1">
      <x:alignment horizontal="center" vertical="center" wrapText="1"/>
    </x:xf>
    <x:xf numFmtId="0" fontId="3" fillId="12" borderId="0" xfId="0" applyFont="1" applyFill="1" applyAlignment="1">
      <x:alignment horizontal="center" vertical="center" wrapText="1"/>
    </x:xf>
    <x:xf numFmtId="0" fontId="3" fillId="13" borderId="0" xfId="0" applyFont="1" applyFill="1" applyAlignment="1">
      <x:alignment horizontal="center" vertical="center" wrapText="1"/>
    </x:xf>
    <x:xf numFmtId="9" fontId="0" fillId="0" borderId="0" xfId="0" applyNumberFormat="1" applyAlignment="1">
      <x:alignment vertical="center" wrapText="1"/>
    </x:xf>
    <x:xf numFmtId="0" fontId="1" fillId="4" borderId="0" xfId="0" applyFont="1" applyFill="1" applyAlignment="1">
      <x:alignment horizontal="center" vertical="center" wrapText="1"/>
    </x:xf>
    <x:xf numFmtId="164" fontId="0" fillId="0" borderId="0" xfId="0" applyNumberFormat="1" applyAlignment="1">
      <x:alignment horizontal="center" vertical="center" wrapText="1"/>
    </x:xf>
    <x:xf numFmtId="0" fontId="0" fillId="0" borderId="0" xfId="0" applyAlignment="1">
      <x:alignment horizontal="center" vertical="center" wrapText="1"/>
    </x:xf>
    <x:xf numFmtId="0" fontId="2" fillId="3" borderId="0" xfId="0" applyFont="1" applyFill="1" applyAlignment="1">
      <x:alignment vertical="center" wrapText="1"/>
    </x:xf>
    <x:xf numFmtId="0" fontId="0" fillId="0" borderId="0" xfId="0" applyAlignment="1">
      <x:alignment horizontal="left" vertical="center" wrapText="1"/>
    </x:xf>
    <x:xf numFmtId="0" fontId="0" fillId="6" borderId="0" xfId="0" applyFill="1" applyAlignment="1">
      <x:alignment horizontal="left" vertical="center" wrapText="1"/>
    </x:xf>
    <x:xf numFmtId="166" fontId="0" fillId="6" borderId="0" xfId="0" applyNumberFormat="1" applyFill="1" applyAlignment="1">
      <x:alignment horizontal="left" vertical="center" wrapText="1"/>
    </x:xf>
    <x:xf numFmtId="10" fontId="0" fillId="6" borderId="0" xfId="0" applyNumberFormat="1" applyFill="1" applyAlignment="1">
      <x:alignment vertical="center" wrapText="1"/>
    </x:xf>
    <x:xf numFmtId="165" fontId="0" fillId="6" borderId="0" xfId="0" applyNumberFormat="1" applyFill="1" applyAlignment="1">
      <x:alignment horizontal="left" vertical="center" wrapText="1"/>
    </x:xf>
    <x:xf numFmtId="0" fontId="0" fillId="0" borderId="0" xfId="0" applyAlignment="1">
      <x:alignment horizontal="left" wrapText="1"/>
    </x:xf>
    <x:xf numFmtId="0" fontId="0" fillId="0" borderId="0" xfId="0" applyAlignment="1">
      <x:alignment horizontal="left"/>
    </x:xf>
    <x:xf numFmtId="49" fontId="0" fillId="0" borderId="0" xfId="0" applyNumberFormat="1" applyAlignment="1">
      <x:alignment horizontal="left" vertical="center" wrapText="1"/>
    </x:xf>
    <x:xf numFmtId="164" fontId="0" fillId="0" borderId="0" xfId="0" applyNumberFormat="1" applyAlignment="1">
      <x:alignment horizontal="left" vertical="center" wrapText="1"/>
    </x:xf>
    <x:xf numFmtId="0" fontId="1" fillId="4" borderId="0" xfId="0" applyFont="1" applyFill="1" applyAlignment="1">
      <x:alignment horizontal="left" vertical="center" wrapText="1"/>
    </x:xf>
    <x:xf numFmtId="0" fontId="0" fillId="0" borderId="0" xfId="0" applyAlignment="1">
      <x:alignment horizontal="center" vertical="center"/>
    </x:xf>
    <x:xf numFmtId="0" fontId="1" fillId="4" borderId="0" xfId="0" applyFont="1" applyFill="1" applyAlignment="1">
      <x:alignment horizontal="center" vertical="center"/>
    </x:xf>
    <x:xf numFmtId="0" fontId="0" fillId="0" borderId="0" xfId="0" applyAlignment="1">
      <x:alignment horizont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/>
    </x:xf>
    <x:xf numFmtId="0" fontId="3" fillId="5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0" fontId="3" fillId="5" borderId="1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 applyAlignment="1">
      <x:alignment vertical="center" wrapText="1"/>
    </x:xf>
    <x:xf numFmtId="0" fontId="0" fillId="14" borderId="1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1" fillId="7" borderId="1" xfId="0" applyNumberFormat="1" applyFont="1" applyFill="1" applyBorder="1" applyAlignment="1">
      <x:alignment vertical="center" wrapText="1"/>
    </x:xf>
    <x:xf numFmtId="0" fontId="3" fillId="8" borderId="1" xfId="0" applyNumberFormat="1" applyFont="1" applyFill="1" applyBorder="1" applyAlignment="1">
      <x:alignment horizontal="center" vertical="center" wrapText="1"/>
    </x:xf>
    <x:xf numFmtId="0" fontId="3" fillId="9" borderId="1" xfId="0" applyNumberFormat="1" applyFont="1" applyFill="1" applyBorder="1" applyAlignment="1">
      <x:alignment horizontal="center" vertical="center" wrapText="1"/>
    </x:xf>
    <x:xf numFmtId="0" fontId="3" fillId="10" borderId="1" xfId="0" applyNumberFormat="1" applyFont="1" applyFill="1" applyBorder="1" applyAlignment="1">
      <x:alignment horizontal="center" vertical="center" wrapText="1"/>
    </x:xf>
    <x:xf numFmtId="0" fontId="3" fillId="11" borderId="1" xfId="0" applyNumberFormat="1" applyFont="1" applyFill="1" applyBorder="1" applyAlignment="1">
      <x:alignment horizontal="center" vertical="center" wrapText="1"/>
    </x:xf>
    <x:xf numFmtId="0" fontId="3" fillId="12" borderId="1" xfId="0" applyNumberFormat="1" applyFont="1" applyFill="1" applyBorder="1" applyAlignment="1">
      <x:alignment horizontal="center" vertical="center" wrapText="1"/>
    </x:xf>
    <x:xf numFmtId="0" fontId="3" fillId="13" borderId="1" xfId="0" applyNumberFormat="1" applyFont="1" applyFill="1" applyBorder="1" applyAlignment="1">
      <x:alignment horizontal="center" vertical="center" wrapText="1"/>
    </x:xf>
    <x:xf numFmtId="9" fontId="0" fillId="0" borderId="1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164" fontId="0" fillId="0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horizontal="left" vertical="center" wrapText="1"/>
    </x:xf>
    <x:xf numFmtId="0" fontId="0" fillId="6" borderId="1" xfId="0" applyNumberFormat="1" applyFont="1" applyFill="1" applyBorder="1" applyAlignment="1">
      <x:alignment horizontal="left" vertical="center" wrapText="1"/>
    </x:xf>
    <x:xf numFmtId="166" fontId="0" fillId="6" borderId="1" xfId="0" applyNumberFormat="1" applyFont="1" applyFill="1" applyBorder="1" applyAlignment="1">
      <x:alignment horizontal="left" vertical="center" wrapText="1"/>
    </x:xf>
    <x:xf numFmtId="10" fontId="0" fillId="6" borderId="1" xfId="0" applyNumberFormat="1" applyFont="1" applyFill="1" applyBorder="1" applyAlignment="1">
      <x:alignment vertical="center" wrapText="1"/>
    </x:xf>
    <x:xf numFmtId="165" fontId="0" fillId="6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horizontal="left" wrapText="1"/>
    </x:xf>
    <x:xf numFmtId="0" fontId="0" fillId="0" borderId="1" xfId="0" applyNumberFormat="1" applyFont="1" applyFill="1" applyBorder="1" applyAlignment="1">
      <x:alignment horizontal="left"/>
    </x:xf>
    <x:xf numFmtId="49" fontId="0" fillId="0" borderId="1" xfId="0" applyNumberFormat="1" applyFont="1" applyFill="1" applyBorder="1" applyAlignment="1">
      <x:alignment horizontal="left" vertical="center" wrapText="1"/>
    </x:xf>
    <x:xf numFmtId="164" fontId="0" fillId="0" borderId="1" xfId="0" applyNumberFormat="1" applyFont="1" applyFill="1" applyBorder="1" applyAlignment="1">
      <x:alignment horizontal="left" vertical="center" wrapText="1"/>
    </x:xf>
    <x:xf numFmtId="0" fontId="1" fillId="4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horizontal="center" vertical="center"/>
    </x:xf>
    <x:xf numFmtId="0" fontId="1" fillId="4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/>
    </x:xf>
    <x:xf numFmtId="0" fontId="0" fillId="15" borderId="0" xfId="0" applyNumberFormat="1" applyFont="1" applyFill="1" applyBorder="1"/>
    <x:xf numFmtId="0" fontId="0" fillId="15" borderId="1" xfId="0" applyNumberFormat="1" applyFont="1" applyFill="1" applyBorder="1"/>
    <x:xf numFmtId="0" fontId="5" fillId="15" borderId="0" xfId="0" applyNumberFormat="1" applyFont="1" applyFill="1" applyBorder="1"/>
    <x:xf numFmtId="0" fontId="5" fillId="15" borderId="1" xfId="0" applyNumberFormat="1" applyFont="1" applyFill="1" applyBorder="1"/>
    <x:xf numFmtId="0" fontId="0" fillId="16" borderId="0" xfId="0" applyNumberFormat="1" applyFont="1" applyFill="1" applyBorder="1"/>
    <x:xf numFmtId="0" fontId="0" fillId="16" borderId="1" xfId="0" applyNumberFormat="1" applyFont="1" applyFill="1" applyBorder="1"/>
    <x:xf numFmtId="0" fontId="3" fillId="16" borderId="0" xfId="0" applyNumberFormat="1" applyFont="1" applyFill="1" applyBorder="1"/>
    <x:xf numFmtId="0" fontId="3" fillId="16" borderId="1" xfId="0" applyNumberFormat="1" applyFont="1" applyFill="1" applyBorder="1"/>
    <x:xf numFmtId="0" fontId="5" fillId="15" borderId="0" xfId="0" applyNumberFormat="1" applyFont="1" applyFill="1" applyBorder="1" applyAlignment="1">
      <x:alignment wrapText="1"/>
    </x:xf>
    <x:xf numFmtId="0" fontId="5" fillId="15" borderId="1" xfId="0" applyNumberFormat="1" applyFont="1" applyFill="1" applyBorder="1" applyAlignment="1">
      <x:alignment wrapText="1"/>
    </x:xf>
    <x:xf numFmtId="0" fontId="0" fillId="15" borderId="0" xfId="0" applyNumberFormat="1" applyFont="1" applyFill="1" applyBorder="1" applyAlignment="1">
      <x:alignment vertical="center"/>
    </x:xf>
    <x:xf numFmtId="0" fontId="0" fillId="15" borderId="1" xfId="0" applyNumberFormat="1" applyFont="1" applyFill="1" applyBorder="1" applyAlignment="1">
      <x:alignment vertical="center"/>
    </x:xf>
    <x:xf numFmtId="0" fontId="1" fillId="15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1e0b1dd2e54411" /><Relationship Type="http://schemas.openxmlformats.org/officeDocument/2006/relationships/theme" Target="/xl/theme/theme1.xml" Id="Rfacee68f4e994ee3" /><Relationship Type="http://schemas.openxmlformats.org/officeDocument/2006/relationships/sharedStrings" Target="/xl/sharedStrings.xml" Id="R3835dfc179e944d4" /><Relationship Type="http://schemas.openxmlformats.org/officeDocument/2006/relationships/worksheet" Target="/xl/worksheets/sheet1.xml" Id="Rf940dd9f596443ac" /><Relationship Type="http://schemas.openxmlformats.org/officeDocument/2006/relationships/worksheet" Target="/xl/worksheets/sheet2.xml" Id="Rca288f88c8b24a48" /><Relationship Type="http://schemas.openxmlformats.org/officeDocument/2006/relationships/worksheet" Target="/xl/worksheets/sheet3.xml" Id="R57ce590c3fb24481" /><Relationship Type="http://schemas.openxmlformats.org/officeDocument/2006/relationships/worksheet" Target="/xl/worksheets/sheet4.xml" Id="R1db28279c8bf4e0f" /><Relationship Type="http://schemas.openxmlformats.org/officeDocument/2006/relationships/worksheet" Target="/xl/worksheets/sheet5.xml" Id="Rc04bb93b2f64403a" /><Relationship Type="http://schemas.openxmlformats.org/officeDocument/2006/relationships/worksheet" Target="/xl/worksheets/sheet6.xml" Id="R6924287f77304a77" /><Relationship Type="http://schemas.openxmlformats.org/officeDocument/2006/relationships/worksheet" Target="/xl/worksheets/sheet7.xml" Id="Ra8586fe2c881432e" /><Relationship Type="http://schemas.openxmlformats.org/officeDocument/2006/relationships/worksheet" Target="/xl/worksheets/sheet8.xml" Id="Rc96526c236554ea6" /><Relationship Type="http://schemas.openxmlformats.org/officeDocument/2006/relationships/worksheet" Target="/xl/worksheets/sheet9.xml" Id="R23e6d402635c433b" /><Relationship Type="http://schemas.openxmlformats.org/officeDocument/2006/relationships/worksheet" Target="/xl/worksheets/sheet10.xml" Id="R965d338736a04198" /><Relationship Type="http://schemas.openxmlformats.org/officeDocument/2006/relationships/worksheet" Target="/xl/worksheets/sheet11.xml" Id="R520712bb2d3848b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25" defaultRowHeight="14.25"/>
  <x:cols>
    <x:col min="2" max="2" width="29.5" style="32" customWidth="1"/>
    <x:col min="4" max="4" width="28" customWidth="1"/>
  </x:cols>
  <x:sheetData>
    <x:row r="1" ht="81">
      <x:c r="A1" s="11" t="s">
        <x:v>0</x:v>
      </x:c>
      <x:c r="B1" s="2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</x:row>
    <x:row r="2">
      <x:c r="A2" s="6"/>
      <x:c r="B2" s="2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</x:row>
    <x:row r="3" ht="15">
      <x:c r="A3" s="12" t="s">
        <x:v>1</x:v>
      </x:c>
      <x:c r="B3" s="26"/>
      <x:c r="C3" s="13" t="s">
        <x:v>2</x:v>
      </x:c>
      <x:c r="E3" s="6"/>
      <x:c r="F3" s="6"/>
      <x:c r="I3" s="6"/>
      <x:c r="J3" s="6"/>
      <x:c r="K3" s="6"/>
      <x:c r="L3" s="6"/>
      <x:c r="M3" s="6"/>
      <x:c r="N3" s="6"/>
      <x:c r="O3" s="6"/>
      <x:c r="P3" s="6"/>
      <x:c r="Q3" s="6"/>
    </x:row>
    <x:row r="4" ht="15">
      <x:c r="A4" s="7" t="s">
        <x:v>3</x:v>
      </x:c>
      <x:c r="B4" s="27" t="str">
        <x:f>'02_Build'!B4</x:f>
        <x:v>44755 Savage Rd, Coarsegold CA</x:v>
      </x:c>
      <x:c r="C4" s="7" t="s">
        <x:v>4</x:v>
      </x:c>
      <x:c r="D4" s="6" t="str">
        <x:f>'02_Build'!F20</x:f>
        <x:v>PASS</x:v>
      </x:c>
      <x:c r="F4" s="6"/>
      <x:c r="I4" s="6"/>
      <x:c r="J4" s="6"/>
      <x:c r="K4" s="6"/>
      <x:c r="L4" s="6"/>
      <x:c r="M4" s="6"/>
      <x:c r="N4" s="6"/>
      <x:c r="O4" s="6"/>
      <x:c r="P4" s="6"/>
      <x:c r="Q4" s="6"/>
    </x:row>
    <x:row r="5" ht="15">
      <x:c r="A5" s="7" t="s">
        <x:v>5</x:v>
      </x:c>
      <x:c r="B5" s="27" t="str">
        <x:f>'02_Build'!B5</x:f>
        <x:v>REC Alpha Pure-RX 460</x:v>
      </x:c>
      <x:c r="C5" s="7" t="s">
        <x:v>6</x:v>
      </x:c>
      <x:c r="D5" s="6" t="s">
        <x:v>7</x:v>
      </x:c>
      <x:c r="F5" s="6"/>
      <x:c r="I5" s="6"/>
      <x:c r="J5" s="6"/>
      <x:c r="K5" s="6"/>
      <x:c r="L5" s="6"/>
      <x:c r="M5" s="6"/>
      <x:c r="N5" s="6"/>
      <x:c r="O5" s="6"/>
      <x:c r="P5" s="6"/>
      <x:c r="Q5" s="6"/>
    </x:row>
    <x:row r="6" ht="15">
      <x:c r="A6" s="7" t="s">
        <x:v>8</x:v>
      </x:c>
      <x:c r="B6" s="27" t="str">
        <x:f>'02_Build'!B6</x:f>
        <x:v>Sol-Ark 18K-2P-LV</x:v>
      </x:c>
      <x:c r="C6" s="7" t="s">
        <x:v>9</x:v>
      </x:c>
      <x:c r="D6" s="6" t="s">
        <x:v>10</x:v>
      </x:c>
      <x:c r="F6" s="6"/>
      <x:c r="I6" s="6"/>
      <x:c r="J6" s="6"/>
      <x:c r="K6" s="6"/>
      <x:c r="L6" s="6"/>
      <x:c r="M6" s="6"/>
      <x:c r="N6" s="6"/>
      <x:c r="O6" s="6"/>
      <x:c r="P6" s="6"/>
      <x:c r="Q6" s="6"/>
    </x:row>
    <x:row r="7" ht="15">
      <x:c r="A7" s="7" t="s">
        <x:v>11</x:v>
      </x:c>
      <x:c r="B7" s="27" t="str">
        <x:f>'02_Build'!B7</x:f>
        <x:v>Discover Helios ESS</x:v>
      </x:c>
      <x:c r="C7" s="7" t="s">
        <x:v>12</x:v>
      </x:c>
      <x:c r="D7" s="6" t="s">
        <x:v>13</x:v>
      </x:c>
      <x:c r="F7" s="6"/>
      <x:c r="I7" s="6"/>
      <x:c r="J7" s="6"/>
      <x:c r="K7" s="6"/>
      <x:c r="L7" s="6"/>
      <x:c r="M7" s="6"/>
      <x:c r="N7" s="6"/>
      <x:c r="O7" s="6"/>
      <x:c r="P7" s="6"/>
      <x:c r="Q7" s="6"/>
    </x:row>
    <x:row r="8" ht="15">
      <x:c r="A8" s="7" t="s">
        <x:v>14</x:v>
      </x:c>
      <x:c r="B8" s="27" t="n">
        <x:f>'02_Build'!B8</x:f>
        <x:v>3</x:v>
      </x:c>
      <x:c r="C8" s="7" t="s">
        <x:v>15</x:v>
      </x:c>
      <x:c r="D8" s="6" t="s">
        <x:v>16</x:v>
      </x:c>
      <x:c r="F8" s="6"/>
      <x:c r="I8" s="6"/>
      <x:c r="J8" s="6"/>
      <x:c r="K8" s="6"/>
      <x:c r="L8" s="6"/>
      <x:c r="M8" s="6"/>
      <x:c r="N8" s="6"/>
      <x:c r="O8" s="6"/>
      <x:c r="P8" s="6"/>
      <x:c r="Q8" s="6"/>
    </x:row>
    <x:row r="9" ht="15">
      <x:c r="A9" s="7" t="s">
        <x:v>17</x:v>
      </x:c>
      <x:c r="B9" s="27" t="str">
        <x:f>'02_Build'!B11&amp;"×"&amp;'02_Build'!B12&amp;" "&amp;'02_Build'!B9&amp;" x"&amp;'02_Build'!B13&amp;" "&amp;'02_Build'!B10</x:f>
        <x:v>3×12 Portrait x1 Single Mount</x:v>
      </x:c>
      <x:c r="C9" s="7" t="s">
        <x:v>18</x:v>
      </x:c>
      <x:c r="D9" s="6" t="s">
        <x:v>19</x:v>
      </x:c>
      <x:c r="F9" s="6"/>
      <x:c r="I9" s="6"/>
      <x:c r="J9" s="6"/>
      <x:c r="K9" s="6"/>
      <x:c r="L9" s="6"/>
      <x:c r="M9" s="6"/>
      <x:c r="N9" s="6"/>
      <x:c r="O9" s="6"/>
      <x:c r="P9" s="6"/>
      <x:c r="Q9" s="6"/>
    </x:row>
    <x:row r="10" ht="15">
      <x:c r="A10" s="7" t="s">
        <x:v>20</x:v>
      </x:c>
      <x:c r="B10" s="27" t="n">
        <x:f>'02_Build'!F5</x:f>
        <x:v>16.56</x:v>
      </x:c>
      <x:c r="C10" s="6"/>
      <x:c r="D10" s="6"/>
      <x:c r="E10" s="6"/>
      <x:c r="F10" s="6"/>
      <x:c r="G10" s="6"/>
      <x:c r="H10" s="6"/>
      <x:c r="I10" s="6"/>
      <x:c r="J10" s="6"/>
      <x:c r="K10" s="6"/>
      <x:c r="L10" s="6"/>
      <x:c r="M10" s="6"/>
      <x:c r="N10" s="6"/>
      <x:c r="O10" s="6"/>
      <x:c r="P10" s="6"/>
      <x:c r="Q10" s="6"/>
    </x:row>
    <x:row r="11" ht="15">
      <x:c r="A11" s="7" t="s">
        <x:v>21</x:v>
      </x:c>
      <x:c r="B11" s="27" t="n">
        <x:f>'02_Build'!F11</x:f>
        <x:v>48</x:v>
      </x:c>
      <x:c r="C11" s="6"/>
      <x:c r="D11" s="6"/>
      <x:c r="E11" s="6"/>
      <x:c r="F11" s="6"/>
      <x:c r="G11" s="6"/>
      <x:c r="H11" s="6"/>
      <x:c r="I11" s="6"/>
      <x:c r="J11" s="6"/>
      <x:c r="K11" s="6"/>
      <x:c r="L11" s="6"/>
      <x:c r="M11" s="6"/>
      <x:c r="N11" s="6"/>
      <x:c r="O11" s="6"/>
      <x:c r="P11" s="6"/>
      <x:c r="Q11" s="6"/>
    </x:row>
    <x:row r="12" ht="15">
      <x:c r="A12" s="7" t="s">
        <x:v>22</x:v>
      </x:c>
      <x:c r="B12" s="30" t="n">
        <x:f>'02_Build'!F12</x:f>
        <x:v>45940</x:v>
      </x:c>
      <x:c r="C12" s="6"/>
      <x:c r="D12" s="6"/>
      <x:c r="E12" s="6"/>
      <x:c r="F12" s="6"/>
      <x:c r="G12" s="6"/>
      <x:c r="H12" s="6"/>
      <x:c r="I12" s="6"/>
      <x:c r="J12" s="6"/>
      <x:c r="K12" s="6"/>
      <x:c r="L12" s="6"/>
      <x:c r="M12" s="6"/>
      <x:c r="N12" s="6"/>
      <x:c r="O12" s="6"/>
      <x:c r="P12" s="6"/>
      <x:c r="Q12" s="6"/>
    </x:row>
    <x:row r="13" ht="15">
      <x:c r="A13" s="7" t="s">
        <x:v>23</x:v>
      </x:c>
      <x:c r="B13" s="27" t="str">
        <x:f>'02_Build'!F20</x:f>
        <x:v>PASS</x:v>
      </x:c>
      <x:c r="C13" s="6"/>
      <x:c r="D13" s="6"/>
      <x:c r="E13" s="6"/>
      <x:c r="F13" s="6"/>
      <x:c r="G13" s="6"/>
      <x:c r="H13" s="6"/>
      <x:c r="I13" s="6"/>
      <x:c r="J13" s="6"/>
      <x:c r="K13" s="6"/>
      <x:c r="L13" s="6"/>
      <x:c r="M13" s="6"/>
      <x:c r="N13" s="6"/>
      <x:c r="O13" s="6"/>
      <x:c r="P13" s="6"/>
      <x:c r="Q13" s="6"/>
    </x:row>
    <x:row r="14">
      <x:c r="A14" s="6"/>
      <x:c r="B14" s="26"/>
      <x:c r="C14" s="6"/>
      <x:c r="D14" s="6"/>
      <x:c r="E14" s="6"/>
      <x:c r="F14" s="6"/>
      <x:c r="G14" s="6"/>
      <x:c r="H14" s="6"/>
      <x:c r="I14" s="6"/>
      <x:c r="J14" s="6"/>
      <x:c r="K14" s="6"/>
      <x:c r="L14" s="6"/>
      <x:c r="M14" s="6"/>
      <x:c r="N14" s="6"/>
      <x:c r="O14" s="6"/>
      <x:c r="P14" s="6"/>
      <x:c r="Q14" s="6"/>
    </x:row>
    <x:row r="15">
      <x:c r="A15" s="6"/>
      <x:c r="B15" s="26"/>
      <x:c r="C15" s="6"/>
      <x:c r="D15" s="6"/>
      <x:c r="E15" s="6"/>
      <x:c r="F15" s="6"/>
      <x:c r="G15" s="6"/>
      <x:c r="H15" s="6"/>
      <x:c r="I15" s="6"/>
      <x:c r="J15" s="6"/>
      <x:c r="K15" s="6"/>
      <x:c r="L15" s="6"/>
      <x:c r="M15" s="6"/>
      <x:c r="N15" s="6"/>
      <x:c r="O15" s="6"/>
      <x:c r="P15" s="6"/>
      <x:c r="Q15" s="6"/>
    </x:row>
    <x:row r="16">
      <x:c r="A16" s="6"/>
      <x:c r="B16" s="26"/>
      <x:c r="C16" s="6"/>
      <x:c r="D16" s="6"/>
      <x:c r="E16" s="6"/>
      <x:c r="F16" s="6"/>
      <x:c r="G16" s="6"/>
      <x:c r="H16" s="6"/>
      <x:c r="I16" s="6"/>
      <x:c r="J16" s="6"/>
      <x:c r="K16" s="6"/>
      <x:c r="L16" s="6"/>
      <x:c r="M16" s="6"/>
      <x:c r="N16" s="6"/>
      <x:c r="O16" s="6"/>
      <x:c r="P16" s="6"/>
      <x:c r="Q16" s="6"/>
    </x:row>
    <x:row r="17">
      <x:c r="A17" s="6"/>
      <x:c r="B17" s="26"/>
      <x:c r="C17" s="6"/>
      <x:c r="D17" s="6"/>
      <x:c r="E17" s="6"/>
      <x:c r="F17" s="6"/>
      <x:c r="G17" s="6"/>
      <x:c r="H17" s="6"/>
      <x:c r="I17" s="6"/>
      <x:c r="J17" s="6"/>
      <x:c r="K17" s="6"/>
      <x:c r="L17" s="6"/>
      <x:c r="M17" s="6"/>
      <x:c r="N17" s="6"/>
      <x:c r="O17" s="6"/>
      <x:c r="P17" s="6"/>
      <x:c r="Q17" s="6"/>
    </x:row>
    <x:row r="18">
      <x:c r="A18" s="6"/>
      <x:c r="B18" s="26"/>
      <x:c r="C18" s="6"/>
      <x:c r="D18" s="6"/>
      <x:c r="E18" s="6"/>
      <x:c r="F18" s="6"/>
      <x:c r="G18" s="6"/>
      <x:c r="H18" s="6"/>
      <x:c r="I18" s="6"/>
      <x:c r="J18" s="6"/>
      <x:c r="K18" s="6"/>
      <x:c r="L18" s="6"/>
      <x:c r="M18" s="6"/>
      <x:c r="N18" s="6"/>
      <x:c r="O18" s="6"/>
      <x:c r="P18" s="6"/>
      <x:c r="Q18" s="6"/>
    </x:row>
    <x:row r="19">
      <x:c r="A19" s="6"/>
      <x:c r="B19" s="26"/>
      <x:c r="C19" s="6"/>
      <x:c r="D19" s="6"/>
      <x:c r="E19" s="6"/>
      <x:c r="F19" s="6"/>
      <x:c r="G19" s="6"/>
      <x:c r="H19" s="6"/>
      <x:c r="I19" s="6"/>
      <x:c r="J19" s="6"/>
      <x:c r="K19" s="6"/>
      <x:c r="L19" s="6"/>
      <x:c r="M19" s="6"/>
      <x:c r="N19" s="6"/>
      <x:c r="O19" s="6"/>
      <x:c r="P19" s="6"/>
      <x:c r="Q19" s="6"/>
    </x:row>
    <x:row r="20">
      <x:c r="A20" s="6"/>
      <x:c r="B20" s="26"/>
      <x:c r="C20" s="6"/>
      <x:c r="D20" s="6"/>
      <x:c r="E20" s="6"/>
      <x:c r="F20" s="6"/>
      <x:c r="G20" s="6"/>
      <x:c r="H20" s="6"/>
      <x:c r="I20" s="6"/>
      <x:c r="J20" s="6"/>
      <x:c r="K20" s="6"/>
      <x:c r="L20" s="6"/>
      <x:c r="M20" s="6"/>
      <x:c r="N20" s="6"/>
      <x:c r="O20" s="6"/>
      <x:c r="P20" s="6"/>
      <x:c r="Q20" s="6"/>
    </x:row>
    <x:row r="21">
      <x:c r="A21" s="6"/>
      <x:c r="B21" s="26"/>
      <x:c r="C21" s="6"/>
      <x:c r="D21" s="6"/>
      <x:c r="E21" s="6"/>
      <x:c r="F21" s="6"/>
      <x:c r="G21" s="6"/>
      <x:c r="H21" s="6"/>
      <x:c r="I21" s="6"/>
      <x:c r="J21" s="6"/>
      <x:c r="K21" s="6"/>
      <x:c r="L21" s="6"/>
      <x:c r="M21" s="6"/>
      <x:c r="N21" s="6"/>
      <x:c r="O21" s="6"/>
      <x:c r="P21" s="6"/>
      <x:c r="Q21" s="6"/>
    </x:row>
    <x:row r="22">
      <x:c r="A22" s="6"/>
      <x:c r="B22" s="26"/>
      <x:c r="C22" s="6"/>
      <x:c r="D22" s="6"/>
      <x:c r="E22" s="6"/>
      <x:c r="F22" s="6"/>
      <x:c r="G22" s="6"/>
      <x:c r="H22" s="6"/>
      <x:c r="I22" s="6"/>
      <x:c r="J22" s="6"/>
      <x:c r="K22" s="6"/>
      <x:c r="L22" s="6"/>
      <x:c r="M22" s="6"/>
      <x:c r="N22" s="6"/>
      <x:c r="O22" s="6"/>
      <x:c r="P22" s="6"/>
      <x:c r="Q22" s="6"/>
    </x:row>
    <x:row r="23">
      <x:c r="A23" s="6"/>
      <x:c r="B23" s="26"/>
      <x:c r="C23" s="6"/>
      <x:c r="D23" s="6"/>
      <x:c r="E23" s="6"/>
      <x:c r="F23" s="6"/>
      <x:c r="G23" s="6"/>
      <x:c r="H23" s="6"/>
      <x:c r="I23" s="6"/>
      <x:c r="J23" s="6"/>
      <x:c r="K23" s="6"/>
      <x:c r="L23" s="6"/>
      <x:c r="M23" s="6"/>
      <x:c r="N23" s="6"/>
      <x:c r="O23" s="6"/>
      <x:c r="P23" s="6"/>
      <x:c r="Q23" s="6"/>
    </x:row>
    <x:row r="24">
      <x:c r="A24" s="6"/>
      <x:c r="B24" s="26"/>
      <x:c r="C24" s="6"/>
      <x:c r="D24" s="6"/>
      <x:c r="E24" s="6"/>
      <x:c r="F24" s="6"/>
      <x:c r="G24" s="6"/>
      <x:c r="H24" s="6"/>
      <x:c r="I24" s="6"/>
      <x:c r="J24" s="6"/>
      <x:c r="K24" s="6"/>
      <x:c r="L24" s="6"/>
      <x:c r="M24" s="6"/>
      <x:c r="N24" s="6"/>
      <x:c r="O24" s="6"/>
      <x:c r="P24" s="6"/>
      <x:c r="Q24" s="6"/>
    </x:row>
    <x:row r="25">
      <x:c r="A25" s="6"/>
      <x:c r="B25" s="26"/>
      <x:c r="C25" s="6"/>
      <x:c r="D25" s="6"/>
      <x:c r="E25" s="6"/>
      <x:c r="F25" s="6"/>
      <x:c r="G25" s="6"/>
      <x:c r="H25" s="6"/>
      <x:c r="I25" s="6"/>
      <x:c r="J25" s="6"/>
      <x:c r="K25" s="6"/>
      <x:c r="L25" s="6"/>
      <x:c r="M25" s="6"/>
      <x:c r="N25" s="6"/>
      <x:c r="O25" s="6"/>
      <x:c r="P25" s="6"/>
      <x:c r="Q25" s="6"/>
    </x:row>
    <x:row r="26">
      <x:c r="A26" s="6"/>
      <x:c r="B26" s="26"/>
      <x:c r="C26" s="6"/>
      <x:c r="D26" s="6"/>
      <x:c r="E26" s="6"/>
      <x:c r="F26" s="6"/>
      <x:c r="G26" s="6"/>
      <x:c r="H26" s="6"/>
      <x:c r="I26" s="6"/>
      <x:c r="J26" s="6"/>
      <x:c r="K26" s="6"/>
      <x:c r="L26" s="6"/>
      <x:c r="M26" s="6"/>
      <x:c r="N26" s="6"/>
      <x:c r="O26" s="6"/>
      <x:c r="P26" s="6"/>
      <x:c r="Q26" s="6"/>
    </x:row>
    <x:row r="27">
      <x:c r="A27" s="6"/>
      <x:c r="B27" s="26"/>
      <x:c r="C27" s="6"/>
      <x:c r="D27" s="6"/>
      <x:c r="E27" s="6"/>
      <x:c r="F27" s="6"/>
      <x:c r="G27" s="6"/>
      <x:c r="H27" s="6"/>
      <x:c r="I27" s="6"/>
      <x:c r="J27" s="6"/>
      <x:c r="K27" s="6"/>
      <x:c r="L27" s="6"/>
      <x:c r="M27" s="6"/>
      <x:c r="N27" s="6"/>
      <x:c r="O27" s="6"/>
      <x:c r="P27" s="6"/>
      <x:c r="Q27" s="6"/>
    </x:row>
    <x:row r="28">
      <x:c r="A28" s="6"/>
      <x:c r="B28" s="26"/>
      <x:c r="C28" s="6"/>
      <x:c r="D28" s="6"/>
      <x:c r="E28" s="6"/>
      <x:c r="F28" s="6"/>
      <x:c r="G28" s="6"/>
      <x:c r="H28" s="6"/>
      <x:c r="I28" s="6"/>
      <x:c r="J28" s="6"/>
      <x:c r="K28" s="6"/>
      <x:c r="L28" s="6"/>
      <x:c r="M28" s="6"/>
      <x:c r="N28" s="6"/>
      <x:c r="O28" s="6"/>
      <x:c r="P28" s="6"/>
      <x:c r="Q28" s="6"/>
    </x:row>
    <x:row r="29">
      <x:c r="A29" s="6"/>
      <x:c r="B29" s="26"/>
      <x:c r="C29" s="6"/>
      <x:c r="D29" s="6"/>
      <x:c r="E29" s="6"/>
      <x:c r="F29" s="6"/>
      <x:c r="G29" s="6"/>
      <x:c r="H29" s="6"/>
      <x:c r="I29" s="6"/>
      <x:c r="J29" s="6"/>
      <x:c r="K29" s="6"/>
      <x:c r="L29" s="6"/>
      <x:c r="M29" s="6"/>
      <x:c r="N29" s="6"/>
      <x:c r="O29" s="6"/>
      <x:c r="P29" s="6"/>
      <x:c r="Q29" s="6"/>
    </x:row>
    <x:row r="30">
      <x:c r="A30" s="6"/>
      <x:c r="B30" s="26"/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/>
      <x:c r="N30" s="6"/>
      <x:c r="O30" s="6"/>
      <x:c r="P30" s="6"/>
      <x:c r="Q30" s="6"/>
    </x:row>
    <x:row r="31">
      <x:c r="A31" s="6"/>
      <x:c r="B31" s="26"/>
      <x:c r="C31" s="6"/>
      <x:c r="D31" s="6"/>
      <x:c r="E31" s="6"/>
      <x:c r="F31" s="6"/>
      <x:c r="G31" s="6"/>
      <x:c r="H31" s="6"/>
      <x:c r="I31" s="6"/>
      <x:c r="J31" s="6"/>
      <x:c r="K31" s="6"/>
      <x:c r="L31" s="6"/>
      <x:c r="M31" s="6"/>
      <x:c r="N31" s="6"/>
      <x:c r="O31" s="6"/>
      <x:c r="P31" s="6"/>
      <x:c r="Q31" s="6"/>
    </x:row>
    <x:row r="32">
      <x:c r="A32" s="6"/>
      <x:c r="B32" s="26"/>
      <x:c r="C32" s="6"/>
      <x:c r="D32" s="6"/>
      <x:c r="E32" s="6"/>
      <x:c r="F32" s="6"/>
      <x:c r="G32" s="6"/>
      <x:c r="H32" s="6"/>
      <x:c r="I32" s="6"/>
      <x:c r="J32" s="6"/>
      <x:c r="K32" s="6"/>
      <x:c r="L32" s="6"/>
      <x:c r="M32" s="6"/>
      <x:c r="N32" s="6"/>
      <x:c r="O32" s="6"/>
      <x:c r="P32" s="6"/>
      <x:c r="Q32" s="6"/>
    </x:row>
    <x:row r="33">
      <x:c r="A33" s="6"/>
      <x:c r="B33" s="26"/>
      <x:c r="C33" s="6"/>
      <x:c r="D33" s="6"/>
      <x:c r="E33" s="6"/>
      <x:c r="F33" s="6"/>
      <x:c r="G33" s="6"/>
      <x:c r="H33" s="6"/>
      <x:c r="I33" s="6"/>
      <x:c r="J33" s="6"/>
      <x:c r="K33" s="6"/>
      <x:c r="L33" s="6"/>
      <x:c r="M33" s="6"/>
      <x:c r="N33" s="6"/>
      <x:c r="O33" s="6"/>
      <x:c r="P33" s="6"/>
      <x:c r="Q33" s="6"/>
    </x:row>
    <x:row r="34">
      <x:c r="A34" s="6"/>
      <x:c r="B34" s="26"/>
      <x:c r="C34" s="6"/>
      <x:c r="D34" s="6"/>
      <x:c r="E34" s="6"/>
      <x:c r="F34" s="6"/>
      <x:c r="G34" s="6"/>
      <x:c r="H34" s="6"/>
      <x:c r="I34" s="6"/>
      <x:c r="J34" s="6"/>
      <x:c r="K34" s="6"/>
      <x:c r="L34" s="6"/>
      <x:c r="M34" s="6"/>
      <x:c r="N34" s="6"/>
      <x:c r="O34" s="6"/>
      <x:c r="P34" s="6"/>
      <x:c r="Q34" s="6"/>
    </x:row>
    <x:row r="35">
      <x:c r="A35" s="6"/>
      <x:c r="B35" s="26"/>
      <x:c r="C35" s="6"/>
      <x:c r="D35" s="6"/>
      <x:c r="E35" s="6"/>
      <x:c r="F35" s="6"/>
      <x:c r="G35" s="6"/>
      <x:c r="H35" s="6"/>
      <x:c r="I35" s="6"/>
      <x:c r="J35" s="6"/>
      <x:c r="K35" s="6"/>
      <x:c r="L35" s="6"/>
      <x:c r="M35" s="6"/>
      <x:c r="N35" s="6"/>
      <x:c r="O35" s="6"/>
      <x:c r="P35" s="6"/>
      <x:c r="Q35" s="6"/>
    </x:row>
    <x:row r="36">
      <x:c r="A36" s="6"/>
      <x:c r="B36" s="26"/>
      <x:c r="C36" s="6"/>
      <x:c r="D36" s="6"/>
      <x:c r="E36" s="6"/>
      <x:c r="F36" s="6"/>
      <x:c r="G36" s="6"/>
      <x:c r="H36" s="6"/>
      <x:c r="I36" s="6"/>
      <x:c r="J36" s="6"/>
      <x:c r="K36" s="6"/>
      <x:c r="L36" s="6"/>
      <x:c r="M36" s="6"/>
      <x:c r="N36" s="6"/>
      <x:c r="O36" s="6"/>
      <x:c r="P36" s="6"/>
      <x:c r="Q36" s="6"/>
    </x:row>
    <x:row r="37">
      <x:c r="A37" s="6"/>
      <x:c r="B37" s="26"/>
      <x:c r="C37" s="6"/>
      <x:c r="D37" s="6"/>
      <x:c r="E37" s="6"/>
      <x:c r="F37" s="6"/>
      <x:c r="G37" s="6"/>
      <x:c r="H37" s="6"/>
      <x:c r="I37" s="6"/>
      <x:c r="J37" s="6"/>
      <x:c r="K37" s="6"/>
      <x:c r="L37" s="6"/>
      <x:c r="M37" s="6"/>
      <x:c r="N37" s="6"/>
      <x:c r="O37" s="6"/>
      <x:c r="P37" s="6"/>
      <x:c r="Q37" s="6"/>
    </x:row>
    <x:row r="38">
      <x:c r="A38" s="6"/>
      <x:c r="B38" s="26"/>
      <x:c r="C38" s="6"/>
      <x:c r="D38" s="6"/>
      <x:c r="E38" s="6"/>
      <x:c r="F38" s="6"/>
      <x:c r="G38" s="6"/>
      <x:c r="H38" s="6"/>
      <x:c r="I38" s="6"/>
      <x:c r="J38" s="6"/>
      <x:c r="K38" s="6"/>
      <x:c r="L38" s="6"/>
      <x:c r="M38" s="6"/>
      <x:c r="N38" s="6"/>
      <x:c r="O38" s="6"/>
      <x:c r="P38" s="6"/>
      <x:c r="Q38" s="6"/>
    </x:row>
    <x:row r="39">
      <x:c r="A39" s="6"/>
      <x:c r="B39" s="26"/>
      <x:c r="C39" s="6"/>
      <x:c r="D39" s="6"/>
      <x:c r="E39" s="6"/>
      <x:c r="F39" s="6"/>
      <x:c r="G39" s="6"/>
      <x:c r="H39" s="6"/>
      <x:c r="I39" s="6"/>
      <x:c r="J39" s="6"/>
      <x:c r="K39" s="6"/>
      <x:c r="L39" s="6"/>
      <x:c r="M39" s="6"/>
      <x:c r="N39" s="6"/>
      <x:c r="O39" s="6"/>
      <x:c r="P39" s="6"/>
      <x:c r="Q39" s="6"/>
    </x:row>
    <x:row r="40">
      <x:c r="A40" s="6"/>
      <x:c r="B40" s="26"/>
      <x:c r="C40" s="6"/>
      <x:c r="D40" s="6"/>
      <x:c r="E40" s="6"/>
      <x:c r="F40" s="6"/>
      <x:c r="G40" s="6"/>
      <x:c r="H40" s="6"/>
      <x:c r="I40" s="6"/>
      <x:c r="J40" s="6"/>
      <x:c r="K40" s="6"/>
      <x:c r="L40" s="6"/>
      <x:c r="M40" s="6"/>
      <x:c r="N40" s="6"/>
      <x:c r="O40" s="6"/>
      <x:c r="P40" s="6"/>
      <x:c r="Q40" s="6"/>
    </x:row>
    <x:row r="41">
      <x:c r="A41" s="6"/>
      <x:c r="B41" s="26"/>
      <x:c r="C41" s="6"/>
      <x:c r="D41" s="6"/>
      <x:c r="E41" s="6"/>
      <x:c r="F41" s="6"/>
      <x:c r="G41" s="6"/>
      <x:c r="H41" s="6"/>
      <x:c r="I41" s="6"/>
      <x:c r="J41" s="6"/>
      <x:c r="K41" s="6"/>
      <x:c r="L41" s="6"/>
      <x:c r="M41" s="6"/>
      <x:c r="N41" s="6"/>
      <x:c r="O41" s="6"/>
      <x:c r="P41" s="6"/>
      <x:c r="Q41" s="6"/>
    </x:row>
    <x:row r="42">
      <x:c r="A42" s="6"/>
      <x:c r="B42" s="26"/>
      <x:c r="C42" s="6"/>
      <x:c r="D42" s="6"/>
      <x:c r="E42" s="6"/>
      <x:c r="F42" s="6"/>
      <x:c r="G42" s="6"/>
      <x:c r="H42" s="6"/>
      <x:c r="I42" s="6"/>
      <x:c r="J42" s="6"/>
      <x:c r="K42" s="6"/>
      <x:c r="L42" s="6"/>
      <x:c r="M42" s="6"/>
      <x:c r="N42" s="6"/>
      <x:c r="O42" s="6"/>
      <x:c r="P42" s="6"/>
      <x:c r="Q42" s="6"/>
    </x:row>
    <x:row r="43">
      <x:c r="A43" s="6"/>
      <x:c r="B43" s="26"/>
      <x:c r="C43" s="6"/>
      <x:c r="D43" s="6"/>
      <x:c r="E43" s="6"/>
      <x:c r="F43" s="6"/>
      <x:c r="G43" s="6"/>
      <x:c r="H43" s="6"/>
      <x:c r="I43" s="6"/>
      <x:c r="J43" s="6"/>
      <x:c r="K43" s="6"/>
      <x:c r="L43" s="6"/>
      <x:c r="M43" s="6"/>
      <x:c r="N43" s="6"/>
      <x:c r="O43" s="6"/>
      <x:c r="P43" s="6"/>
      <x:c r="Q43" s="6"/>
    </x:row>
    <x:row r="44">
      <x:c r="A44" s="6"/>
      <x:c r="B44" s="26"/>
      <x:c r="C44" s="6"/>
      <x:c r="D44" s="6"/>
      <x:c r="E44" s="6"/>
      <x:c r="F44" s="6"/>
      <x:c r="G44" s="6"/>
      <x:c r="H44" s="6"/>
      <x:c r="I44" s="6"/>
      <x:c r="J44" s="6"/>
      <x:c r="K44" s="6"/>
      <x:c r="L44" s="6"/>
      <x:c r="M44" s="6"/>
      <x:c r="N44" s="6"/>
      <x:c r="O44" s="6"/>
      <x:c r="P44" s="6"/>
      <x:c r="Q44" s="6"/>
    </x:row>
    <x:row r="45">
      <x:c r="A45" s="6"/>
      <x:c r="B45" s="26"/>
      <x:c r="C45" s="6"/>
      <x:c r="D45" s="6"/>
      <x:c r="E45" s="6"/>
      <x:c r="F45" s="6"/>
      <x:c r="G45" s="6"/>
      <x:c r="H45" s="6"/>
      <x:c r="I45" s="6"/>
      <x:c r="J45" s="6"/>
      <x:c r="K45" s="6"/>
      <x:c r="L45" s="6"/>
      <x:c r="M45" s="6"/>
      <x:c r="N45" s="6"/>
      <x:c r="O45" s="6"/>
      <x:c r="P45" s="6"/>
      <x:c r="Q45" s="6"/>
    </x:row>
    <x:row r="46">
      <x:c r="A46" s="6"/>
      <x:c r="B46" s="26"/>
      <x:c r="C46" s="6"/>
      <x:c r="D46" s="6"/>
      <x:c r="E46" s="6"/>
      <x:c r="F46" s="6"/>
      <x:c r="G46" s="6"/>
      <x:c r="H46" s="6"/>
      <x:c r="I46" s="6"/>
      <x:c r="J46" s="6"/>
      <x:c r="K46" s="6"/>
      <x:c r="L46" s="6"/>
      <x:c r="M46" s="6"/>
      <x:c r="N46" s="6"/>
      <x:c r="O46" s="6"/>
      <x:c r="P46" s="6"/>
      <x:c r="Q46" s="6"/>
    </x:row>
    <x:row r="47">
      <x:c r="A47" s="6"/>
      <x:c r="B47" s="26"/>
      <x:c r="C47" s="6"/>
      <x:c r="D47" s="6"/>
      <x:c r="E47" s="6"/>
      <x:c r="F47" s="6"/>
      <x:c r="G47" s="6"/>
      <x:c r="H47" s="6"/>
      <x:c r="I47" s="6"/>
      <x:c r="J47" s="6"/>
      <x:c r="K47" s="6"/>
      <x:c r="L47" s="6"/>
      <x:c r="M47" s="6"/>
      <x:c r="N47" s="6"/>
      <x:c r="O47" s="6"/>
      <x:c r="P47" s="6"/>
      <x:c r="Q47" s="6"/>
    </x:row>
    <x:row r="48">
      <x:c r="A48" s="6"/>
      <x:c r="B48" s="26"/>
      <x:c r="C48" s="6"/>
      <x:c r="D48" s="6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</x:row>
    <x:row r="49">
      <x:c r="A49" s="6"/>
      <x:c r="B49" s="26"/>
      <x:c r="C49" s="6"/>
      <x:c r="D49" s="6"/>
      <x:c r="E49" s="6"/>
      <x:c r="F49" s="6"/>
      <x:c r="G49" s="6"/>
      <x:c r="H49" s="6"/>
      <x:c r="I49" s="6"/>
      <x:c r="J49" s="6"/>
      <x:c r="K49" s="6"/>
      <x:c r="L49" s="6"/>
      <x:c r="M49" s="6"/>
      <x:c r="N49" s="6"/>
      <x:c r="O49" s="6"/>
      <x:c r="P49" s="6"/>
      <x:c r="Q49" s="6"/>
    </x:row>
    <x:row r="50">
      <x:c r="A50" s="6"/>
      <x:c r="B50" s="2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</x:row>
    <x:row r="51">
      <x:c r="A51" s="6"/>
      <x:c r="B51" s="26"/>
      <x:c r="C51" s="6"/>
      <x:c r="D51" s="6"/>
      <x:c r="E51" s="6"/>
      <x:c r="F51" s="6"/>
      <x:c r="G51" s="6"/>
      <x:c r="H51" s="6"/>
      <x:c r="I51" s="6"/>
      <x:c r="J51" s="6"/>
      <x:c r="K51" s="6"/>
      <x:c r="L51" s="6"/>
      <x:c r="M51" s="6"/>
      <x:c r="N51" s="6"/>
      <x:c r="O51" s="6"/>
      <x:c r="P51" s="6"/>
      <x:c r="Q51" s="6"/>
    </x:row>
    <x:row r="52">
      <x:c r="A52" s="6"/>
      <x:c r="B52" s="2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</x:row>
    <x:row r="53">
      <x:c r="A53" s="6"/>
      <x:c r="B53" s="26"/>
      <x:c r="C53" s="6"/>
      <x:c r="D53" s="6"/>
      <x:c r="E53" s="6"/>
      <x:c r="F53" s="6"/>
      <x:c r="G53" s="6"/>
      <x:c r="H53" s="6"/>
      <x:c r="I53" s="6"/>
      <x:c r="J53" s="6"/>
      <x:c r="K53" s="6"/>
      <x:c r="L53" s="6"/>
      <x:c r="M53" s="6"/>
      <x:c r="N53" s="6"/>
      <x:c r="O53" s="6"/>
      <x:c r="P53" s="6"/>
      <x:c r="Q53" s="6"/>
    </x:row>
    <x:row r="54">
      <x:c r="A54" s="6"/>
      <x:c r="B54" s="26"/>
      <x:c r="C54" s="6"/>
      <x:c r="D54" s="6"/>
      <x:c r="E54" s="6"/>
      <x:c r="F54" s="6"/>
      <x:c r="G54" s="6"/>
      <x:c r="H54" s="6"/>
      <x:c r="I54" s="6"/>
      <x:c r="J54" s="6"/>
      <x:c r="K54" s="6"/>
      <x:c r="L54" s="6"/>
      <x:c r="M54" s="6"/>
      <x:c r="N54" s="6"/>
      <x:c r="O54" s="6"/>
      <x:c r="P54" s="6"/>
      <x:c r="Q54" s="6"/>
    </x:row>
    <x:row r="55">
      <x:c r="A55" s="6"/>
      <x:c r="B55" s="26"/>
      <x:c r="C55" s="6"/>
      <x:c r="D55" s="6"/>
      <x:c r="E55" s="6"/>
      <x:c r="F55" s="6"/>
      <x:c r="G55" s="6"/>
      <x:c r="H55" s="6"/>
      <x:c r="I55" s="6"/>
      <x:c r="J55" s="6"/>
      <x:c r="K55" s="6"/>
      <x:c r="L55" s="6"/>
      <x:c r="M55" s="6"/>
      <x:c r="N55" s="6"/>
      <x:c r="O55" s="6"/>
      <x:c r="P55" s="6"/>
      <x:c r="Q55" s="6"/>
    </x:row>
    <x:row r="56">
      <x:c r="A56" s="6"/>
      <x:c r="B56" s="26"/>
      <x:c r="C56" s="6"/>
      <x:c r="D56" s="6"/>
      <x:c r="E56" s="6"/>
      <x:c r="F56" s="6"/>
      <x:c r="G56" s="6"/>
      <x:c r="H56" s="6"/>
      <x:c r="I56" s="6"/>
      <x:c r="J56" s="6"/>
      <x:c r="K56" s="6"/>
      <x:c r="L56" s="6"/>
      <x:c r="M56" s="6"/>
      <x:c r="N56" s="6"/>
      <x:c r="O56" s="6"/>
      <x:c r="P56" s="6"/>
      <x:c r="Q56" s="6"/>
    </x:row>
    <x:row r="57">
      <x:c r="A57" s="6"/>
      <x:c r="B57" s="26"/>
      <x:c r="C57" s="6"/>
      <x:c r="D57" s="6"/>
      <x:c r="E57" s="6"/>
      <x:c r="F57" s="6"/>
      <x:c r="G57" s="6"/>
      <x:c r="H57" s="6"/>
      <x:c r="I57" s="6"/>
      <x:c r="J57" s="6"/>
      <x:c r="K57" s="6"/>
      <x:c r="L57" s="6"/>
      <x:c r="M57" s="6"/>
      <x:c r="N57" s="6"/>
      <x:c r="O57" s="6"/>
      <x:c r="P57" s="6"/>
      <x:c r="Q57" s="6"/>
    </x:row>
    <x:row r="58">
      <x:c r="A58" s="6"/>
      <x:c r="B58" s="26"/>
      <x:c r="C58" s="6"/>
      <x:c r="D58" s="6"/>
      <x:c r="E58" s="6"/>
      <x:c r="F58" s="6"/>
      <x:c r="G58" s="6"/>
      <x:c r="H58" s="6"/>
      <x:c r="I58" s="6"/>
      <x:c r="J58" s="6"/>
      <x:c r="K58" s="6"/>
      <x:c r="L58" s="6"/>
      <x:c r="M58" s="6"/>
      <x:c r="N58" s="6"/>
      <x:c r="O58" s="6"/>
      <x:c r="P58" s="6"/>
      <x:c r="Q58" s="6"/>
    </x:row>
    <x:row r="59">
      <x:c r="A59" s="6"/>
      <x:c r="B59" s="26"/>
      <x:c r="C59" s="6"/>
      <x:c r="D59" s="6"/>
      <x:c r="E59" s="6"/>
      <x:c r="F59" s="6"/>
      <x:c r="G59" s="6"/>
      <x:c r="H59" s="6"/>
      <x:c r="I59" s="6"/>
      <x:c r="J59" s="6"/>
      <x:c r="K59" s="6"/>
      <x:c r="L59" s="6"/>
      <x:c r="M59" s="6"/>
      <x:c r="N59" s="6"/>
      <x:c r="O59" s="6"/>
      <x:c r="P59" s="6"/>
      <x:c r="Q59" s="6"/>
    </x:row>
    <x:row r="60">
      <x:c r="A60" s="6"/>
      <x:c r="B60" s="26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  <x:c r="O60" s="6"/>
      <x:c r="P60" s="6"/>
      <x:c r="Q60" s="6"/>
    </x:row>
    <x:row r="61">
      <x:c r="A61" s="1"/>
      <x:c r="B61" s="3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</x:row>
    <x:row r="62">
      <x:c r="A62" s="1"/>
      <x:c r="B62" s="3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</x:row>
    <x:row r="63">
      <x:c r="A63" s="1"/>
      <x:c r="B63" s="3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</x:row>
    <x:row r="64">
      <x:c r="A64" s="1"/>
      <x:c r="B64" s="3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</x:row>
    <x:row r="65">
      <x:c r="A65" s="1"/>
      <x:c r="B65" s="3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</x:row>
    <x:row r="66">
      <x:c r="A66" s="1"/>
      <x:c r="B66" s="3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</x:row>
    <x:row r="67">
      <x:c r="A67" s="1"/>
      <x:c r="B67" s="3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</x:row>
    <x:row r="68">
      <x:c r="A68" s="1"/>
      <x:c r="B68" s="3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</x:row>
    <x:row r="69">
      <x:c r="A69" s="1"/>
      <x:c r="B69" s="3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</x:row>
    <x:row r="70">
      <x:c r="A70" s="1"/>
      <x:c r="B70" s="3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</x:row>
    <x:row r="71">
      <x:c r="A71" s="1"/>
      <x:c r="B71" s="3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</x:row>
    <x:row r="72">
      <x:c r="A72" s="1"/>
      <x:c r="B72" s="3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</x:row>
    <x:row r="73">
      <x:c r="A73" s="1"/>
      <x:c r="B73" s="3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</x:row>
    <x:row r="74">
      <x:c r="A74" s="1"/>
      <x:c r="B74" s="3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</x:row>
    <x:row r="75">
      <x:c r="A75" s="1"/>
      <x:c r="B75" s="3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</x:row>
    <x:row r="76">
      <x:c r="A76" s="1"/>
      <x:c r="B76" s="3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</x:row>
    <x:row r="77">
      <x:c r="A77" s="1"/>
      <x:c r="B77" s="3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</x:row>
    <x:row r="78">
      <x:c r="A78" s="1"/>
      <x:c r="B78" s="3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</x:row>
    <x:row r="79">
      <x:c r="A79" s="1"/>
      <x:c r="B79" s="3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</x:row>
    <x:row r="80">
      <x:c r="A80" s="1"/>
      <x:c r="B80" s="3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21" defaultRowHeight="14.25"/>
  <x:sheetData>
    <x:row r="1" ht="101.25">
      <x:c r="A1" s="25" t="s">
        <x:v>24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</x:row>
    <x:row r="2">
      <x:c r="A2" s="6"/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</x:row>
    <x:row r="3" ht="30">
      <x:c r="A3" s="12" t="s">
        <x:v>25</x:v>
      </x:c>
      <x:c r="B3" s="6"/>
      <x:c r="C3" s="14" t="s">
        <x:v>26</x:v>
      </x:c>
      <x:c r="D3" s="26"/>
      <x:c r="E3" s="13" t="s">
        <x:v>27</x:v>
      </x:c>
      <x:c r="F3" s="26"/>
      <x:c r="G3" s="13" t="s">
        <x:v>28</x:v>
      </x:c>
      <x:c r="H3" s="22" t="s">
        <x:v>29</x:v>
      </x:c>
      <x:c r="I3" s="22" t="s">
        <x:v>30</x:v>
      </x:c>
      <x:c r="J3" s="22" t="s">
        <x:v>31</x:v>
      </x:c>
      <x:c r="M3" s="6"/>
      <x:c r="P3" s="6"/>
      <x:c r="Q3" s="6"/>
    </x:row>
    <x:row r="4" ht="28.5">
      <x:c r="A4" s="7" t="s">
        <x:v>3</x:v>
      </x:c>
      <x:c r="B4" s="27" t="s">
        <x:v>32</x:v>
      </x:c>
      <x:c r="C4" s="7" t="s">
        <x:v>33</x:v>
      </x:c>
      <x:c r="D4" s="26" t="n">
        <x:f>INDEX(DB_Panels!$C$2:$C$6,MATCH($B$5,DB_Panels!$B$2:$B$6,0))</x:f>
        <x:v>460</x:v>
      </x:c>
      <x:c r="E4" s="7" t="s">
        <x:v>34</x:v>
      </x:c>
      <x:c r="F4" s="27" t="n">
        <x:f>B11*B12*B13</x:f>
        <x:v>36</x:v>
      </x:c>
      <x:c r="G4" s="7" t="s">
        <x:v>35</x:v>
      </x:c>
      <x:c r="H4" s="23" t="n">
        <x:f>F6</x:f>
        <x:v>329.4</x:v>
      </x:c>
      <x:c r="I4" s="23" t="str">
        <x:f>D13&amp;"–"&amp;D14&amp;" V"</x:f>
        <x:v>150–425 V</x:v>
      </x:c>
      <x:c r="J4" s="24" t="str">
        <x:f>IF(AND(F6&gt;=D13,F6&lt;=D14),"PASS","CHECK")</x:f>
        <x:v>PASS</x:v>
      </x:c>
      <x:c r="M4" s="6"/>
      <x:c r="P4" s="6"/>
      <x:c r="Q4" s="6"/>
    </x:row>
    <x:row r="5" ht="28.5">
      <x:c r="A5" s="7" t="s">
        <x:v>36</x:v>
      </x:c>
      <x:c r="B5" s="27" t="s">
        <x:v>37</x:v>
      </x:c>
      <x:c r="C5" s="7" t="s">
        <x:v>38</x:v>
      </x:c>
      <x:c r="D5" s="26" t="n">
        <x:f>INDEX(DB_Panels!$D$2:$D$6,MATCH($B$5,DB_Panels!$B$2:$B$6,0))</x:f>
        <x:v>65.7</x:v>
      </x:c>
      <x:c r="E5" s="7" t="s">
        <x:v>20</x:v>
      </x:c>
      <x:c r="F5" s="27" t="n">
        <x:f>$D$4*F4/1000</x:f>
        <x:v>16.56</x:v>
      </x:c>
      <x:c r="G5" s="7" t="s">
        <x:v>39</x:v>
      </x:c>
      <x:c r="H5" s="23" t="n">
        <x:f>F7</x:f>
        <x:v>422.58240000000006</x:v>
      </x:c>
      <x:c r="I5" s="23" t="str">
        <x:f>"&lt;"&amp;D15&amp;" V"</x:f>
        <x:v>&lt;500 V</x:v>
      </x:c>
      <x:c r="J5" s="24" t="str">
        <x:f>IF(F7&lt;D15,"PASS","CHECK")</x:f>
        <x:v>PASS</x:v>
      </x:c>
      <x:c r="M5" s="6"/>
      <x:c r="P5" s="6"/>
      <x:c r="Q5" s="6"/>
    </x:row>
    <x:row r="6" ht="15">
      <x:c r="A6" s="7" t="s">
        <x:v>8</x:v>
      </x:c>
      <x:c r="B6" s="27" t="s">
        <x:v>40</x:v>
      </x:c>
      <x:c r="C6" s="7" t="s">
        <x:v>41</x:v>
      </x:c>
      <x:c r="D6" s="26" t="n">
        <x:f>INDEX(DB_Panels!$E$2:$E$6,MATCH($B$5,DB_Panels!$B$2:$B$6,0))</x:f>
        <x:v>54.9</x:v>
      </x:c>
      <x:c r="E6" s="7" t="s">
        <x:v>35</x:v>
      </x:c>
      <x:c r="F6" s="27" t="n">
        <x:f>$D$6*$B$17</x:f>
        <x:v>329.4</x:v>
      </x:c>
      <x:c r="G6" s="7" t="s">
        <x:v>42</x:v>
      </x:c>
      <x:c r="H6" s="23" t="n">
        <x:f>F8</x:f>
        <x:v>16.76</x:v>
      </x:c>
      <x:c r="I6" s="23" t="str">
        <x:f>"&lt;"&amp;D16&amp;" A"</x:f>
        <x:v>&lt;36 A</x:v>
      </x:c>
      <x:c r="J6" s="24" t="str">
        <x:f>IF(F8&lt;D16,"PASS","CHECK")</x:f>
        <x:v>PASS</x:v>
      </x:c>
      <x:c r="M6" s="6"/>
      <x:c r="P6" s="6"/>
      <x:c r="Q6" s="6"/>
    </x:row>
    <x:row r="7" ht="15">
      <x:c r="A7" s="7" t="s">
        <x:v>11</x:v>
      </x:c>
      <x:c r="B7" s="27" t="s">
        <x:v>43</x:v>
      </x:c>
      <x:c r="C7" s="7" t="s">
        <x:v>44</x:v>
      </x:c>
      <x:c r="D7" s="26" t="n">
        <x:f>INDEX(DB_Panels!$F$2:$F$6,MATCH($B$5,DB_Panels!$B$2:$B$6,0))</x:f>
        <x:v>8.88</x:v>
      </x:c>
      <x:c r="E7" s="7" t="s">
        <x:v>45</x:v>
      </x:c>
      <x:c r="F7" s="27" t="n">
        <x:f>$D$5*$B$17*(1+ABS($D$9)/100*(25-$B$16))</x:f>
        <x:v>422.58240000000006</x:v>
      </x:c>
      <x:c r="G7" s="7" t="s">
        <x:v>46</x:v>
      </x:c>
      <x:c r="H7" s="23" t="n">
        <x:f>F9</x:f>
        <x:v>17.76</x:v>
      </x:c>
      <x:c r="I7" s="23" t="str">
        <x:f>"&lt;"&amp;D17&amp;" A"</x:f>
        <x:v>&lt;54 A</x:v>
      </x:c>
      <x:c r="J7" s="24" t="str">
        <x:f>IF(F9&lt;D17,"PASS","CHECK")</x:f>
        <x:v>PASS</x:v>
      </x:c>
      <x:c r="M7" s="6"/>
      <x:c r="P7" s="6"/>
      <x:c r="Q7" s="6"/>
    </x:row>
    <x:row r="8" ht="30">
      <x:c r="A8" s="7" t="s">
        <x:v>14</x:v>
      </x:c>
      <x:c r="B8" s="27">
        <x:v>3</x:v>
      </x:c>
      <x:c r="C8" s="7" t="s">
        <x:v>47</x:v>
      </x:c>
      <x:c r="D8" s="26" t="n">
        <x:f>INDEX(DB_Panels!$G$2:$G$6,MATCH($B$5,DB_Panels!$B$2:$B$6,0))</x:f>
        <x:v>8.38</x:v>
      </x:c>
      <x:c r="E8" s="7" t="s">
        <x:v>48</x:v>
      </x:c>
      <x:c r="F8" s="27" t="n">
        <x:f>$D$8*$B$19</x:f>
        <x:v>16.76</x:v>
      </x:c>
      <x:c r="G8" s="7" t="s">
        <x:v>49</x:v>
      </x:c>
      <x:c r="H8" s="23" t="n">
        <x:f>B18/B19</x:f>
        <x:v>3</x:v>
      </x:c>
      <x:c r="I8" s="23" t="str">
        <x:f>"&lt;= "&amp;D18</x:f>
        <x:v>&lt;= 3</x:v>
      </x:c>
      <x:c r="J8" s="24" t="str">
        <x:f>IF(B18/B19&lt;=D18,"PASS","CHECK")</x:f>
        <x:v>PASS</x:v>
      </x:c>
      <x:c r="M8" s="6"/>
      <x:c r="P8" s="6"/>
      <x:c r="Q8" s="6"/>
    </x:row>
    <x:row r="9" ht="30">
      <x:c r="A9" s="7" t="s">
        <x:v>50</x:v>
      </x:c>
      <x:c r="B9" s="27" t="s">
        <x:v>51</x:v>
      </x:c>
      <x:c r="C9" s="7" t="s">
        <x:v>52</x:v>
      </x:c>
      <x:c r="D9" s="26" t="n">
        <x:f>INDEX(DB_Panels!$H$2:$H$6,MATCH($B$5,DB_Panels!$B$2:$B$6,0))</x:f>
        <x:v>-0.24</x:v>
      </x:c>
      <x:c r="E9" s="7" t="s">
        <x:v>53</x:v>
      </x:c>
      <x:c r="F9" s="27" t="n">
        <x:f>$D$7*$B$19</x:f>
        <x:v>17.76</x:v>
      </x:c>
      <x:c r="H9" s="6"/>
      <x:c r="M9" s="6"/>
      <x:c r="P9" s="6"/>
      <x:c r="Q9" s="6"/>
    </x:row>
    <x:row r="10" ht="15">
      <x:c r="A10" s="7" t="s">
        <x:v>54</x:v>
      </x:c>
      <x:c r="B10" s="27" t="s">
        <x:v>55</x:v>
      </x:c>
      <x:c r="C10" s="7" t="s">
        <x:v>56</x:v>
      </x:c>
      <x:c r="D10" s="26" t="n">
        <x:f>INDEX(DB_Panels!$J$2:$J$6,MATCH($B$5,DB_Panels!$B$2:$B$6,0))/304.8</x:f>
        <x:v>5.669291338582677</x:v>
      </x:c>
      <x:c r="E10" s="7" t="s">
        <x:v>57</x:v>
      </x:c>
      <x:c r="F10" s="27" t="n">
        <x:f>F6*F8/1000</x:f>
        <x:v>5.520744</x:v>
      </x:c>
      <x:c r="H10" s="6"/>
      <x:c r="I10" s="6"/>
      <x:c r="J10" s="6"/>
      <x:c r="K10" s="6"/>
      <x:c r="L10" s="6"/>
      <x:c r="M10" s="6"/>
      <x:c r="P10" s="6"/>
      <x:c r="Q10" s="6"/>
    </x:row>
    <x:row r="11" ht="15">
      <x:c r="A11" s="7" t="s">
        <x:v>58</x:v>
      </x:c>
      <x:c r="B11" s="27">
        <x:v>3</x:v>
      </x:c>
      <x:c r="C11" s="7" t="s">
        <x:v>59</x:v>
      </x:c>
      <x:c r="D11" s="26" t="n">
        <x:f>INDEX(DB_Panels!$K$2:$K$6,MATCH($B$5,DB_Panels!$B$2:$B$6,0))/304.8</x:f>
        <x:v>3.9534120734908136</x:v>
      </x:c>
      <x:c r="E11" s="7" t="s">
        <x:v>21</x:v>
      </x:c>
      <x:c r="F11" s="27" t="n">
        <x:f>$D$20*$B$8</x:f>
        <x:v>48</x:v>
      </x:c>
      <x:c r="H11" s="6"/>
      <x:c r="I11" s="6"/>
      <x:c r="J11" s="6"/>
      <x:c r="K11" s="6"/>
      <x:c r="L11" s="6"/>
      <x:c r="M11" s="6"/>
      <x:c r="P11" s="6"/>
      <x:c r="Q11" s="6"/>
    </x:row>
    <x:row r="12" ht="15">
      <x:c r="A12" s="7" t="s">
        <x:v>60</x:v>
      </x:c>
      <x:c r="B12" s="27">
        <x:v>12</x:v>
      </x:c>
      <x:c r="C12" s="7" t="s">
        <x:v>61</x:v>
      </x:c>
      <x:c r="D12" s="26" t="n">
        <x:f>INDEX(DB_Panels!$O$2:$O$6,MATCH($B$5,DB_Panels!$B$2:$B$6,0))</x:f>
        <x:v>315</x:v>
      </x:c>
      <x:c r="E12" s="7" t="s">
        <x:v>22</x:v>
      </x:c>
      <x:c r="F12" s="28" t="n">
        <x:f>$D$12*F4+$D$19+$D$21*$B$8+$B$21</x:f>
        <x:v>45940</x:v>
      </x:c>
      <x:c r="H12" s="6"/>
      <x:c r="I12" s="6"/>
      <x:c r="J12" s="6"/>
      <x:c r="K12" s="6"/>
      <x:c r="L12" s="6"/>
      <x:c r="M12" s="6"/>
      <x:c r="P12" s="6"/>
      <x:c r="Q12" s="6"/>
    </x:row>
    <x:row r="13" ht="15">
      <x:c r="A13" s="7" t="s">
        <x:v>62</x:v>
      </x:c>
      <x:c r="B13" s="27">
        <x:v>1</x:v>
      </x:c>
      <x:c r="C13" s="7" t="s">
        <x:v>63</x:v>
      </x:c>
      <x:c r="D13" s="26" t="n">
        <x:f>INDEX(DB_Inverters!$C$2:$C$3,MATCH($B$6,DB_Inverters!$B$2:$B$3,0))</x:f>
        <x:v>150</x:v>
      </x:c>
      <x:c r="E13" s="7" t="s">
        <x:v>64</x:v>
      </x:c>
      <x:c r="F13" s="28" t="n">
        <x:f>F12/(F5*1000)</x:f>
        <x:v>2.774154589371981</x:v>
      </x:c>
      <x:c r="H13" s="6"/>
      <x:c r="I13" s="6"/>
      <x:c r="J13" s="6"/>
      <x:c r="K13" s="6"/>
      <x:c r="L13" s="6"/>
      <x:c r="M13" s="6"/>
      <x:c r="P13" s="6"/>
      <x:c r="Q13" s="6"/>
    </x:row>
    <x:row r="14" ht="15">
      <x:c r="A14" s="7" t="s">
        <x:v>65</x:v>
      </x:c>
      <x:c r="B14" s="27">
        <x:v>37</x:v>
      </x:c>
      <x:c r="C14" s="7" t="s">
        <x:v>66</x:v>
      </x:c>
      <x:c r="D14" s="26" t="n">
        <x:f>INDEX(DB_Inverters!$D$2:$D$3,MATCH($B$6,DB_Inverters!$B$2:$B$3,0))</x:f>
        <x:v>425</x:v>
      </x:c>
      <x:c r="E14" s="7" t="s">
        <x:v>59</x:v>
      </x:c>
      <x:c r="F14" s="27" t="n">
        <x:f>$D$11</x:f>
        <x:v>3.9534120734908136</x:v>
      </x:c>
      <x:c r="H14" s="6"/>
      <x:c r="I14" s="6"/>
      <x:c r="J14" s="6"/>
      <x:c r="K14" s="6"/>
      <x:c r="L14" s="6"/>
      <x:c r="M14" s="6"/>
      <x:c r="P14" s="6"/>
      <x:c r="Q14" s="6"/>
    </x:row>
    <x:row r="15" ht="15">
      <x:c r="A15" s="7" t="s">
        <x:v>67</x:v>
      </x:c>
      <x:c r="B15" s="27">
        <x:v>180</x:v>
      </x:c>
      <x:c r="C15" s="7" t="s">
        <x:v>68</x:v>
      </x:c>
      <x:c r="D15" s="26" t="n">
        <x:f>INDEX(DB_Inverters!$E$2:$E$3,MATCH($B$6,DB_Inverters!$B$2:$B$3,0))</x:f>
        <x:v>500</x:v>
      </x:c>
      <x:c r="E15" s="7" t="s">
        <x:v>56</x:v>
      </x:c>
      <x:c r="F15" s="27" t="n">
        <x:f>$D$10</x:f>
        <x:v>5.669291338582677</x:v>
      </x:c>
      <x:c r="H15" s="6"/>
      <x:c r="I15" s="6"/>
      <x:c r="J15" s="6"/>
      <x:c r="K15" s="6"/>
      <x:c r="L15" s="6"/>
      <x:c r="M15" s="6"/>
      <x:c r="P15" s="6"/>
      <x:c r="Q15" s="6"/>
    </x:row>
    <x:row r="16" ht="15">
      <x:c r="A16" s="7" t="s">
        <x:v>69</x:v>
      </x:c>
      <x:c r="B16" s="27">
        <x:v>-5</x:v>
      </x:c>
      <x:c r="C16" s="7" t="s">
        <x:v>70</x:v>
      </x:c>
      <x:c r="D16" s="26" t="n">
        <x:f>INDEX(DB_Inverters!$F$2:$F$3,MATCH($B$6,DB_Inverters!$B$2:$B$3,0))</x:f>
        <x:v>36</x:v>
      </x:c>
      <x:c r="E16" s="7" t="s">
        <x:v>71</x:v>
      </x:c>
      <x:c r="F16" s="27" t="n">
        <x:f>IF($B$9="Portrait",$B$12*F14,$B$12*F15)</x:f>
        <x:v>47.44094488188976</x:v>
      </x:c>
      <x:c r="H16" s="6"/>
      <x:c r="I16" s="6"/>
      <x:c r="J16" s="6"/>
      <x:c r="K16" s="6"/>
      <x:c r="L16" s="6"/>
      <x:c r="M16" s="6"/>
      <x:c r="P16" s="6"/>
      <x:c r="Q16" s="6"/>
    </x:row>
    <x:row r="17" ht="15">
      <x:c r="A17" s="7" t="s">
        <x:v>72</x:v>
      </x:c>
      <x:c r="B17" s="27">
        <x:v>6</x:v>
      </x:c>
      <x:c r="C17" s="7" t="s">
        <x:v>73</x:v>
      </x:c>
      <x:c r="D17" s="26" t="n">
        <x:f>INDEX(DB_Inverters!$G$2:$G$3,MATCH($B$6,DB_Inverters!$B$2:$B$3,0))</x:f>
        <x:v>54</x:v>
      </x:c>
      <x:c r="E17" s="7" t="s">
        <x:v>74</x:v>
      </x:c>
      <x:c r="F17" s="27" t="n">
        <x:f>IF($B$9="Portrait",$B$11*F15,$B$11*F14)</x:f>
        <x:v>17.00787401574803</x:v>
      </x:c>
      <x:c r="H17" s="6"/>
      <x:c r="I17" s="6"/>
      <x:c r="J17" s="6"/>
      <x:c r="K17" s="6"/>
      <x:c r="L17" s="6"/>
      <x:c r="M17" s="6"/>
      <x:c r="P17" s="6"/>
      <x:c r="Q17" s="6"/>
    </x:row>
    <x:row r="18" ht="15">
      <x:c r="A18" s="7" t="s">
        <x:v>75</x:v>
      </x:c>
      <x:c r="B18" s="27">
        <x:v>6</x:v>
      </x:c>
      <x:c r="C18" s="7" t="s">
        <x:v>76</x:v>
      </x:c>
      <x:c r="D18" s="26" t="n">
        <x:f>INDEX(DB_Inverters!$H$2:$H$3,MATCH($B$6,DB_Inverters!$B$2:$B$3,0))</x:f>
        <x:v>3</x:v>
      </x:c>
      <x:c r="E18" s="7" t="s">
        <x:v>77</x:v>
      </x:c>
      <x:c r="F18" s="27" t="n">
        <x:f>F17*COS(RADIANS($B$14))</x:f>
        <x:v>13.583092139387027</x:v>
      </x:c>
      <x:c r="H18" s="6"/>
      <x:c r="I18" s="6"/>
      <x:c r="J18" s="6"/>
      <x:c r="K18" s="6"/>
      <x:c r="L18" s="6"/>
      <x:c r="M18" s="6"/>
      <x:c r="P18" s="6"/>
      <x:c r="Q18" s="6"/>
    </x:row>
    <x:row r="19" ht="15">
      <x:c r="A19" s="7" t="s">
        <x:v>78</x:v>
      </x:c>
      <x:c r="B19" s="27">
        <x:v>2</x:v>
      </x:c>
      <x:c r="C19" s="7" t="s">
        <x:v>79</x:v>
      </x:c>
      <x:c r="D19" s="26" t="n">
        <x:f>INDEX(DB_Inverters!$L$2:$L$3,MATCH($B$6,DB_Inverters!$B$2:$B$3,0))</x:f>
        <x:v>7900</x:v>
      </x:c>
      <x:c r="E19" s="7" t="s">
        <x:v>80</x:v>
      </x:c>
      <x:c r="F19" s="27" t="n">
        <x:f>F17*SIN(RADIANS($B$14))</x:f>
        <x:v>10.235594094554521</x:v>
      </x:c>
      <x:c r="H19" s="6"/>
      <x:c r="I19" s="6"/>
      <x:c r="J19" s="6"/>
      <x:c r="K19" s="6"/>
      <x:c r="L19" s="6"/>
      <x:c r="M19" s="6"/>
      <x:c r="P19" s="6"/>
      <x:c r="Q19" s="6"/>
    </x:row>
    <x:row r="20" ht="15">
      <x:c r="A20" s="7" t="s">
        <x:v>81</x:v>
      </x:c>
      <x:c r="B20" s="27" t="s">
        <x:v>82</x:v>
      </x:c>
      <x:c r="C20" s="7" t="s">
        <x:v>83</x:v>
      </x:c>
      <x:c r="D20" s="26" t="n">
        <x:f>INDEX(DB_Batteries!$D$2:$D$5,MATCH($B$7,DB_Batteries!$B$2:$B$5,0))</x:f>
        <x:v>16</x:v>
      </x:c>
      <x:c r="E20" s="7" t="s">
        <x:v>23</x:v>
      </x:c>
      <x:c r="F20" s="27" t="str">
        <x:f>IF(AND(F6&gt;=$D$13,F6&lt;=$D$14,F7&lt;$D$15,F8&lt;$D$16,F9&lt;$D$17),"PASS","CHECK")</x:f>
        <x:v>PASS</x:v>
      </x:c>
      <x:c r="H20" s="6"/>
      <x:c r="I20" s="6"/>
      <x:c r="J20" s="6"/>
      <x:c r="K20" s="6"/>
      <x:c r="L20" s="6"/>
      <x:c r="M20" s="6"/>
      <x:c r="P20" s="6"/>
      <x:c r="Q20" s="6"/>
    </x:row>
    <x:row r="21" ht="28.5">
      <x:c r="A21" s="7" t="s">
        <x:v>84</x:v>
      </x:c>
      <x:c r="B21" s="27">
        <x:v>12000</x:v>
      </x:c>
      <x:c r="C21" s="7" t="s">
        <x:v>85</x:v>
      </x:c>
      <x:c r="D21" s="26" t="n">
        <x:f>INDEX(DB_Batteries!$M$2:$M$5,MATCH($B$7,DB_Batteries!$B$2:$B$5,0))</x:f>
        <x:v>4900</x:v>
      </x:c>
      <x:c r="E21" s="7" t="s">
        <x:v>86</x:v>
      </x:c>
      <x:c r="F21" s="27" t="str">
        <x:f>IF($B$10="Single Mount","Row spacing N/A - single structure","Check row spacing on Layout sheet")</x:f>
        <x:v>Row spacing N/A - single structure</x:v>
      </x:c>
      <x:c r="H21" s="6"/>
      <x:c r="I21" s="6"/>
      <x:c r="J21" s="6"/>
      <x:c r="K21" s="6"/>
      <x:c r="L21" s="6"/>
      <x:c r="M21" s="6"/>
      <x:c r="P21" s="6"/>
      <x:c r="Q21" s="6"/>
    </x:row>
    <x:row r="22">
      <x:c r="A22" s="6"/>
      <x:c r="B22" s="6"/>
      <x:c r="C22" s="6"/>
      <x:c r="D22" s="6"/>
      <x:c r="E22" s="6"/>
      <x:c r="F22" s="6"/>
      <x:c r="G22" s="6"/>
      <x:c r="H22" s="6"/>
      <x:c r="I22" s="6"/>
      <x:c r="J22" s="6"/>
      <x:c r="K22" s="6"/>
      <x:c r="L22" s="6"/>
      <x:c r="M22" s="6"/>
      <x:c r="N22" s="6"/>
      <x:c r="O22" s="6"/>
      <x:c r="P22" s="6"/>
      <x:c r="Q22" s="6"/>
    </x:row>
    <x:row r="23" ht="60">
      <x:c r="A23" s="12" t="s">
        <x:v>87</x:v>
      </x:c>
      <x:c r="B23" s="6"/>
      <x:c r="C23" s="6"/>
      <x:c r="D23" s="6"/>
      <x:c r="E23" s="6"/>
      <x:c r="F23" s="6"/>
      <x:c r="G23" s="6"/>
      <x:c r="H23" s="6"/>
      <x:c r="I23" s="6"/>
      <x:c r="J23" s="6"/>
      <x:c r="K23" s="6"/>
      <x:c r="L23" s="6"/>
      <x:c r="M23" s="6"/>
      <x:c r="N23" s="6"/>
      <x:c r="O23" s="6"/>
      <x:c r="P23" s="6"/>
      <x:c r="Q23" s="6"/>
    </x:row>
    <x:row r="24" ht="32.099998474121094" customHeight="1">
      <x:c r="A24" s="15" t="s">
        <x:v>88</x:v>
      </x:c>
      <x:c r="B24" s="15" t="s">
        <x:v>88</x:v>
      </x:c>
      <x:c r="C24" s="16" t="s">
        <x:v>89</x:v>
      </x:c>
      <x:c r="D24" s="16" t="s">
        <x:v>89</x:v>
      </x:c>
      <x:c r="E24" s="17" t="s">
        <x:v>90</x:v>
      </x:c>
      <x:c r="F24" s="17" t="s">
        <x:v>90</x:v>
      </x:c>
      <x:c r="G24" s="18" t="s">
        <x:v>91</x:v>
      </x:c>
      <x:c r="H24" s="18" t="s">
        <x:v>91</x:v>
      </x:c>
      <x:c r="I24" s="19" t="s">
        <x:v>92</x:v>
      </x:c>
      <x:c r="J24" s="19" t="s">
        <x:v>92</x:v>
      </x:c>
      <x:c r="K24" s="20" t="s">
        <x:v>93</x:v>
      </x:c>
      <x:c r="L24" s="20" t="s">
        <x:v>93</x:v>
      </x:c>
      <x:c r="M24" s="6"/>
    </x:row>
    <x:row r="25" ht="32.099998474121094" customHeight="1">
      <x:c r="A25" s="15" t="s">
        <x:v>88</x:v>
      </x:c>
      <x:c r="B25" s="15" t="s">
        <x:v>88</x:v>
      </x:c>
      <x:c r="C25" s="16" t="s">
        <x:v>89</x:v>
      </x:c>
      <x:c r="D25" s="16" t="s">
        <x:v>89</x:v>
      </x:c>
      <x:c r="E25" s="17" t="s">
        <x:v>90</x:v>
      </x:c>
      <x:c r="F25" s="17" t="s">
        <x:v>90</x:v>
      </x:c>
      <x:c r="G25" s="18" t="s">
        <x:v>91</x:v>
      </x:c>
      <x:c r="H25" s="18" t="s">
        <x:v>91</x:v>
      </x:c>
      <x:c r="I25" s="19" t="s">
        <x:v>92</x:v>
      </x:c>
      <x:c r="J25" s="19" t="s">
        <x:v>92</x:v>
      </x:c>
      <x:c r="K25" s="20" t="s">
        <x:v>93</x:v>
      </x:c>
      <x:c r="L25" s="20" t="s">
        <x:v>93</x:v>
      </x:c>
      <x:c r="M25" s="6"/>
    </x:row>
    <x:row r="26" ht="32.099998474121094" customHeight="1">
      <x:c r="A26" s="15" t="s">
        <x:v>88</x:v>
      </x:c>
      <x:c r="B26" s="15" t="s">
        <x:v>88</x:v>
      </x:c>
      <x:c r="C26" s="16" t="s">
        <x:v>89</x:v>
      </x:c>
      <x:c r="D26" s="16" t="s">
        <x:v>89</x:v>
      </x:c>
      <x:c r="E26" s="17" t="s">
        <x:v>90</x:v>
      </x:c>
      <x:c r="F26" s="17" t="s">
        <x:v>90</x:v>
      </x:c>
      <x:c r="G26" s="18" t="s">
        <x:v>91</x:v>
      </x:c>
      <x:c r="H26" s="18" t="s">
        <x:v>91</x:v>
      </x:c>
      <x:c r="I26" s="19" t="s">
        <x:v>92</x:v>
      </x:c>
      <x:c r="J26" s="19" t="s">
        <x:v>92</x:v>
      </x:c>
      <x:c r="K26" s="20" t="s">
        <x:v>93</x:v>
      </x:c>
      <x:c r="L26" s="20" t="s">
        <x:v>93</x:v>
      </x:c>
      <x:c r="M26" s="6"/>
    </x:row>
    <x:row r="27">
      <x:c r="A27" s="6"/>
      <x:c r="B27" s="6"/>
      <x:c r="C27" s="6"/>
      <x:c r="D27" s="6"/>
      <x:c r="E27" s="6"/>
      <x:c r="F27" s="6"/>
      <x:c r="G27" s="6"/>
      <x:c r="H27" s="6"/>
      <x:c r="I27" s="6"/>
      <x:c r="J27" s="6"/>
      <x:c r="K27" s="6"/>
      <x:c r="L27" s="6"/>
      <x:c r="M27" s="6"/>
    </x:row>
    <x:row r="28" ht="30">
      <x:c r="A28" s="22" t="s">
        <x:v>94</x:v>
      </x:c>
      <x:c r="B28" s="13" t="s">
        <x:v>95</x:v>
      </x:c>
      <x:c r="C28" s="22" t="s">
        <x:v>96</x:v>
      </x:c>
      <x:c r="D28" s="13" t="s">
        <x:v>97</x:v>
      </x:c>
      <x:c r="F28" s="6"/>
      <x:c r="G28" s="6"/>
      <x:c r="H28" s="6"/>
      <x:c r="I28" s="6"/>
      <x:c r="J28" s="6"/>
      <x:c r="K28" s="6"/>
      <x:c r="L28" s="6"/>
      <x:c r="M28" s="6"/>
    </x:row>
    <x:row r="29" ht="28.5">
      <x:c r="A29" s="24" t="s">
        <x:v>88</x:v>
      </x:c>
      <x:c r="B29" s="6" t="s">
        <x:v>98</x:v>
      </x:c>
      <x:c r="C29" s="24" t="s">
        <x:v>99</x:v>
      </x:c>
      <x:c r="D29" s="6" t="s">
        <x:v>100</x:v>
      </x:c>
      <x:c r="F29" s="6"/>
      <x:c r="G29" s="6"/>
      <x:c r="H29" s="6"/>
      <x:c r="I29" s="6"/>
      <x:c r="J29" s="6"/>
      <x:c r="K29" s="6"/>
      <x:c r="L29" s="6"/>
      <x:c r="M29" s="6"/>
    </x:row>
    <x:row r="30" ht="28.5">
      <x:c r="A30" s="24" t="s">
        <x:v>89</x:v>
      </x:c>
      <x:c r="B30" s="6" t="s">
        <x:v>101</x:v>
      </x:c>
      <x:c r="C30" s="24" t="s">
        <x:v>102</x:v>
      </x:c>
      <x:c r="D30" s="6" t="s">
        <x:v>103</x:v>
      </x:c>
      <x:c r="F30" s="6"/>
      <x:c r="G30" s="6"/>
      <x:c r="H30" s="6"/>
      <x:c r="I30" s="6"/>
      <x:c r="J30" s="6"/>
      <x:c r="K30" s="6"/>
      <x:c r="L30" s="6"/>
      <x:c r="M30" s="6"/>
    </x:row>
    <x:row r="31" ht="28.5">
      <x:c r="A31" s="24" t="s">
        <x:v>90</x:v>
      </x:c>
      <x:c r="B31" s="6" t="s">
        <x:v>104</x:v>
      </x:c>
      <x:c r="C31" s="24" t="s">
        <x:v>105</x:v>
      </x:c>
      <x:c r="D31" s="6" t="s">
        <x:v>106</x:v>
      </x:c>
      <x:c r="F31" s="6"/>
      <x:c r="G31" s="6"/>
      <x:c r="H31" s="6"/>
      <x:c r="I31" s="6"/>
      <x:c r="J31" s="6"/>
      <x:c r="K31" s="6"/>
      <x:c r="L31" s="6"/>
      <x:c r="M31" s="6"/>
      <x:c r="N31" s="6"/>
      <x:c r="O31" s="6"/>
      <x:c r="P31" s="6"/>
      <x:c r="Q31" s="6"/>
    </x:row>
    <x:row r="32" ht="28.5">
      <x:c r="A32" s="24" t="s">
        <x:v>91</x:v>
      </x:c>
      <x:c r="B32" s="6" t="s">
        <x:v>107</x:v>
      </x:c>
      <x:c r="C32" s="24" t="s">
        <x:v>105</x:v>
      </x:c>
      <x:c r="D32" s="6" t="s">
        <x:v>106</x:v>
      </x:c>
      <x:c r="F32" s="6"/>
      <x:c r="G32" s="6"/>
      <x:c r="H32" s="6"/>
      <x:c r="I32" s="6"/>
      <x:c r="J32" s="6"/>
      <x:c r="K32" s="6"/>
      <x:c r="L32" s="6"/>
      <x:c r="M32" s="6"/>
      <x:c r="N32" s="6"/>
      <x:c r="O32" s="6"/>
      <x:c r="P32" s="6"/>
      <x:c r="Q32" s="6"/>
    </x:row>
    <x:row r="33" ht="28.5">
      <x:c r="A33" s="24" t="s">
        <x:v>92</x:v>
      </x:c>
      <x:c r="B33" s="6" t="s">
        <x:v>108</x:v>
      </x:c>
      <x:c r="C33" s="24" t="s">
        <x:v>102</x:v>
      </x:c>
      <x:c r="D33" s="6" t="s">
        <x:v>103</x:v>
      </x:c>
      <x:c r="F33" s="6"/>
      <x:c r="G33" s="6"/>
      <x:c r="H33" s="6"/>
      <x:c r="I33" s="6"/>
      <x:c r="J33" s="6"/>
      <x:c r="K33" s="6"/>
      <x:c r="L33" s="6"/>
      <x:c r="M33" s="6"/>
      <x:c r="N33" s="6"/>
      <x:c r="O33" s="6"/>
      <x:c r="P33" s="6"/>
      <x:c r="Q33" s="6"/>
    </x:row>
    <x:row r="34" ht="28.5">
      <x:c r="A34" s="24" t="s">
        <x:v>93</x:v>
      </x:c>
      <x:c r="B34" s="6" t="s">
        <x:v>109</x:v>
      </x:c>
      <x:c r="C34" s="24" t="s">
        <x:v>99</x:v>
      </x:c>
      <x:c r="D34" s="6" t="s">
        <x:v>110</x:v>
      </x:c>
      <x:c r="F34" s="6"/>
      <x:c r="G34" s="6"/>
      <x:c r="H34" s="6"/>
      <x:c r="I34" s="6"/>
      <x:c r="J34" s="6"/>
      <x:c r="K34" s="6"/>
      <x:c r="L34" s="6"/>
      <x:c r="M34" s="6"/>
      <x:c r="N34" s="6"/>
      <x:c r="O34" s="6"/>
      <x:c r="P34" s="6"/>
      <x:c r="Q34" s="6"/>
    </x:row>
    <x:row r="35">
      <x:c r="A35" s="6"/>
      <x:c r="B35" s="6"/>
      <x:c r="C35" s="6"/>
      <x:c r="D35" s="6"/>
      <x:c r="E35" s="6"/>
      <x:c r="F35" s="6"/>
      <x:c r="G35" s="6"/>
      <x:c r="H35" s="6"/>
      <x:c r="I35" s="6"/>
      <x:c r="J35" s="6"/>
      <x:c r="K35" s="6"/>
      <x:c r="L35" s="6"/>
      <x:c r="M35" s="6"/>
      <x:c r="N35" s="6"/>
      <x:c r="O35" s="6"/>
      <x:c r="P35" s="6"/>
      <x:c r="Q35" s="6"/>
    </x:row>
    <x:row r="36">
      <x:c r="A36" s="6"/>
      <x:c r="B36" s="6"/>
      <x:c r="C36" s="6"/>
      <x:c r="D36" s="6"/>
      <x:c r="E36" s="6"/>
      <x:c r="F36" s="6"/>
      <x:c r="G36" s="6"/>
      <x:c r="H36" s="6"/>
      <x:c r="I36" s="6"/>
      <x:c r="J36" s="6"/>
      <x:c r="K36" s="6"/>
      <x:c r="L36" s="6"/>
      <x:c r="M36" s="6"/>
      <x:c r="N36" s="6"/>
      <x:c r="O36" s="6"/>
      <x:c r="P36" s="6"/>
      <x:c r="Q36" s="6"/>
    </x:row>
    <x:row r="37" ht="199.5">
      <x:c r="A37" s="9" t="s">
        <x:v>111</x:v>
      </x:c>
      <x:c r="B37" s="6"/>
      <x:c r="C37" s="6"/>
      <x:c r="D37" s="6"/>
      <x:c r="E37" s="6"/>
      <x:c r="F37" s="6"/>
      <x:c r="G37" s="6"/>
      <x:c r="H37" s="6"/>
      <x:c r="I37" s="6"/>
      <x:c r="J37" s="6"/>
      <x:c r="K37" s="6"/>
      <x:c r="L37" s="6"/>
      <x:c r="M37" s="6"/>
      <x:c r="N37" s="6"/>
      <x:c r="O37" s="6"/>
      <x:c r="P37" s="6"/>
      <x:c r="Q37" s="6"/>
    </x:row>
    <x:row r="38">
      <x:c r="A38" s="6"/>
      <x:c r="B38" s="6"/>
      <x:c r="C38" s="6"/>
      <x:c r="D38" s="6"/>
      <x:c r="E38" s="6"/>
      <x:c r="F38" s="6"/>
      <x:c r="G38" s="6"/>
      <x:c r="H38" s="6"/>
      <x:c r="I38" s="6"/>
      <x:c r="J38" s="6"/>
      <x:c r="K38" s="6"/>
      <x:c r="L38" s="6"/>
      <x:c r="M38" s="6"/>
      <x:c r="N38" s="6"/>
      <x:c r="O38" s="6"/>
      <x:c r="P38" s="6"/>
      <x:c r="Q38" s="6"/>
    </x:row>
    <x:row r="39">
      <x:c r="A39" s="6"/>
      <x:c r="B39" s="6"/>
      <x:c r="C39" s="6"/>
      <x:c r="D39" s="6"/>
      <x:c r="E39" s="6"/>
      <x:c r="F39" s="6"/>
      <x:c r="G39" s="6"/>
      <x:c r="H39" s="6"/>
      <x:c r="I39" s="6"/>
      <x:c r="J39" s="6"/>
      <x:c r="K39" s="6"/>
      <x:c r="L39" s="6"/>
      <x:c r="M39" s="6"/>
      <x:c r="N39" s="6"/>
      <x:c r="O39" s="6"/>
      <x:c r="P39" s="6"/>
      <x:c r="Q39" s="6"/>
    </x:row>
    <x:row r="40">
      <x:c r="A40" s="6"/>
      <x:c r="B40" s="6"/>
      <x:c r="C40" s="6"/>
      <x:c r="D40" s="6"/>
      <x:c r="E40" s="6"/>
      <x:c r="F40" s="6"/>
      <x:c r="G40" s="6"/>
      <x:c r="H40" s="6"/>
      <x:c r="I40" s="6"/>
      <x:c r="J40" s="6"/>
      <x:c r="K40" s="6"/>
      <x:c r="L40" s="6"/>
      <x:c r="M40" s="6"/>
      <x:c r="N40" s="6"/>
      <x:c r="O40" s="6"/>
      <x:c r="P40" s="6"/>
      <x:c r="Q40" s="6"/>
    </x:row>
    <x:row r="41">
      <x:c r="A41" s="6"/>
      <x:c r="B41" s="6"/>
      <x:c r="C41" s="6"/>
      <x:c r="D41" s="6"/>
      <x:c r="E41" s="6"/>
      <x:c r="F41" s="6"/>
      <x:c r="G41" s="6"/>
      <x:c r="H41" s="6"/>
      <x:c r="I41" s="6"/>
      <x:c r="J41" s="6"/>
      <x:c r="K41" s="6"/>
      <x:c r="L41" s="6"/>
      <x:c r="M41" s="6"/>
      <x:c r="N41" s="6"/>
      <x:c r="O41" s="6"/>
      <x:c r="P41" s="6"/>
      <x:c r="Q41" s="6"/>
    </x:row>
    <x:row r="42">
      <x:c r="A42" s="6"/>
      <x:c r="B42" s="6"/>
      <x:c r="C42" s="6"/>
      <x:c r="D42" s="6"/>
      <x:c r="E42" s="6"/>
      <x:c r="F42" s="6"/>
      <x:c r="G42" s="6"/>
      <x:c r="H42" s="6"/>
      <x:c r="I42" s="6"/>
      <x:c r="J42" s="6"/>
      <x:c r="K42" s="6"/>
      <x:c r="L42" s="6"/>
      <x:c r="M42" s="6"/>
      <x:c r="N42" s="6"/>
      <x:c r="O42" s="6"/>
      <x:c r="P42" s="6"/>
      <x:c r="Q42" s="6"/>
    </x:row>
    <x:row r="43">
      <x:c r="A43" s="6"/>
      <x:c r="B43" s="6"/>
      <x:c r="C43" s="6"/>
      <x:c r="D43" s="6"/>
      <x:c r="E43" s="6"/>
      <x:c r="F43" s="6"/>
      <x:c r="G43" s="6"/>
      <x:c r="H43" s="6"/>
      <x:c r="I43" s="6"/>
      <x:c r="J43" s="6"/>
      <x:c r="K43" s="6"/>
      <x:c r="L43" s="6"/>
      <x:c r="M43" s="6"/>
      <x:c r="N43" s="6"/>
      <x:c r="O43" s="6"/>
      <x:c r="P43" s="6"/>
      <x:c r="Q43" s="6"/>
    </x:row>
    <x:row r="44">
      <x:c r="A44" s="6"/>
      <x:c r="B44" s="6"/>
      <x:c r="C44" s="6"/>
      <x:c r="D44" s="6"/>
      <x:c r="E44" s="6"/>
      <x:c r="F44" s="6"/>
      <x:c r="G44" s="6"/>
      <x:c r="H44" s="6"/>
      <x:c r="I44" s="6"/>
      <x:c r="J44" s="6"/>
      <x:c r="K44" s="6"/>
      <x:c r="L44" s="6"/>
      <x:c r="M44" s="6"/>
      <x:c r="N44" s="6"/>
      <x:c r="O44" s="6"/>
      <x:c r="P44" s="6"/>
      <x:c r="Q44" s="6"/>
    </x:row>
    <x:row r="45">
      <x:c r="A45" s="6"/>
      <x:c r="B45" s="6"/>
      <x:c r="C45" s="6"/>
      <x:c r="D45" s="6"/>
      <x:c r="E45" s="6"/>
      <x:c r="F45" s="6"/>
      <x:c r="G45" s="6"/>
      <x:c r="H45" s="6"/>
      <x:c r="I45" s="6"/>
      <x:c r="J45" s="6"/>
      <x:c r="K45" s="6"/>
      <x:c r="L45" s="6"/>
      <x:c r="M45" s="6"/>
      <x:c r="N45" s="6"/>
      <x:c r="O45" s="6"/>
      <x:c r="P45" s="6"/>
      <x:c r="Q45" s="6"/>
    </x:row>
    <x:row r="46">
      <x:c r="A46" s="6"/>
      <x:c r="B46" s="6"/>
      <x:c r="C46" s="6"/>
      <x:c r="D46" s="6"/>
      <x:c r="E46" s="6"/>
      <x:c r="F46" s="6"/>
      <x:c r="G46" s="6"/>
      <x:c r="H46" s="6"/>
      <x:c r="I46" s="6"/>
      <x:c r="J46" s="6"/>
      <x:c r="K46" s="6"/>
      <x:c r="L46" s="6"/>
      <x:c r="M46" s="6"/>
      <x:c r="N46" s="6"/>
      <x:c r="O46" s="6"/>
      <x:c r="P46" s="6"/>
      <x:c r="Q46" s="6"/>
    </x:row>
    <x:row r="47">
      <x:c r="A47" s="6"/>
      <x:c r="B47" s="6"/>
      <x:c r="C47" s="6"/>
      <x:c r="D47" s="6"/>
      <x:c r="E47" s="6"/>
      <x:c r="F47" s="6"/>
      <x:c r="G47" s="6"/>
      <x:c r="H47" s="6"/>
      <x:c r="I47" s="6"/>
      <x:c r="J47" s="6"/>
      <x:c r="K47" s="6"/>
      <x:c r="L47" s="6"/>
      <x:c r="M47" s="6"/>
      <x:c r="N47" s="6"/>
      <x:c r="O47" s="6"/>
      <x:c r="P47" s="6"/>
      <x:c r="Q47" s="6"/>
    </x:row>
    <x:row r="48">
      <x:c r="A48" s="6"/>
      <x:c r="B48" s="6"/>
      <x:c r="C48" s="6"/>
      <x:c r="D48" s="6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</x:row>
    <x:row r="49">
      <x:c r="A49" s="6"/>
      <x:c r="B49" s="6"/>
      <x:c r="C49" s="6"/>
      <x:c r="D49" s="6"/>
      <x:c r="E49" s="6"/>
      <x:c r="F49" s="6"/>
      <x:c r="G49" s="6"/>
      <x:c r="H49" s="6"/>
      <x:c r="I49" s="6"/>
      <x:c r="J49" s="6"/>
      <x:c r="K49" s="6"/>
      <x:c r="L49" s="6"/>
      <x:c r="M49" s="6"/>
      <x:c r="N49" s="6"/>
      <x:c r="O49" s="6"/>
      <x:c r="P49" s="6"/>
      <x:c r="Q49" s="6"/>
    </x:row>
    <x:row r="50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</x:row>
    <x:row r="51">
      <x:c r="A51" s="6"/>
      <x:c r="B51" s="6"/>
      <x:c r="C51" s="6"/>
      <x:c r="D51" s="6"/>
      <x:c r="E51" s="6"/>
      <x:c r="F51" s="6"/>
      <x:c r="G51" s="6"/>
      <x:c r="H51" s="6"/>
      <x:c r="I51" s="6"/>
      <x:c r="J51" s="6"/>
      <x:c r="K51" s="6"/>
      <x:c r="L51" s="6"/>
      <x:c r="M51" s="6"/>
      <x:c r="N51" s="6"/>
      <x:c r="O51" s="6"/>
      <x:c r="P51" s="6"/>
      <x:c r="Q51" s="6"/>
    </x:row>
    <x:row r="52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</x:row>
    <x:row r="53">
      <x:c r="A53" s="6"/>
      <x:c r="B53" s="6"/>
      <x:c r="C53" s="6"/>
      <x:c r="D53" s="6"/>
      <x:c r="E53" s="6"/>
      <x:c r="F53" s="6"/>
      <x:c r="G53" s="6"/>
      <x:c r="H53" s="6"/>
      <x:c r="I53" s="6"/>
      <x:c r="J53" s="6"/>
      <x:c r="K53" s="6"/>
      <x:c r="L53" s="6"/>
      <x:c r="M53" s="6"/>
      <x:c r="N53" s="6"/>
      <x:c r="O53" s="6"/>
      <x:c r="P53" s="6"/>
      <x:c r="Q53" s="6"/>
    </x:row>
    <x:row r="54">
      <x:c r="A54" s="6"/>
      <x:c r="B54" s="6"/>
      <x:c r="C54" s="6"/>
      <x:c r="D54" s="6"/>
      <x:c r="E54" s="6"/>
      <x:c r="F54" s="6"/>
      <x:c r="G54" s="6"/>
      <x:c r="H54" s="6"/>
      <x:c r="I54" s="6"/>
      <x:c r="J54" s="6"/>
      <x:c r="K54" s="6"/>
      <x:c r="L54" s="6"/>
      <x:c r="M54" s="6"/>
      <x:c r="N54" s="6"/>
      <x:c r="O54" s="6"/>
      <x:c r="P54" s="6"/>
      <x:c r="Q54" s="6"/>
    </x:row>
    <x:row r="55">
      <x:c r="A55" s="6"/>
      <x:c r="B55" s="6"/>
      <x:c r="C55" s="6"/>
      <x:c r="D55" s="6"/>
      <x:c r="E55" s="6"/>
      <x:c r="F55" s="6"/>
      <x:c r="G55" s="6"/>
      <x:c r="H55" s="6"/>
      <x:c r="I55" s="6"/>
      <x:c r="J55" s="6"/>
      <x:c r="K55" s="6"/>
      <x:c r="L55" s="6"/>
      <x:c r="M55" s="6"/>
      <x:c r="N55" s="6"/>
      <x:c r="O55" s="6"/>
      <x:c r="P55" s="6"/>
      <x:c r="Q55" s="6"/>
    </x:row>
    <x:row r="56">
      <x:c r="A56" s="6"/>
      <x:c r="B56" s="6"/>
      <x:c r="C56" s="6"/>
      <x:c r="D56" s="6"/>
      <x:c r="E56" s="6"/>
      <x:c r="F56" s="6"/>
      <x:c r="G56" s="6"/>
      <x:c r="H56" s="6"/>
      <x:c r="I56" s="6"/>
      <x:c r="J56" s="6"/>
      <x:c r="K56" s="6"/>
      <x:c r="L56" s="6"/>
      <x:c r="M56" s="6"/>
      <x:c r="N56" s="6"/>
      <x:c r="O56" s="6"/>
      <x:c r="P56" s="6"/>
      <x:c r="Q56" s="6"/>
    </x:row>
    <x:row r="57">
      <x:c r="A57" s="6"/>
      <x:c r="B57" s="6"/>
      <x:c r="C57" s="6"/>
      <x:c r="D57" s="6"/>
      <x:c r="E57" s="6"/>
      <x:c r="F57" s="6"/>
      <x:c r="G57" s="6"/>
      <x:c r="H57" s="6"/>
      <x:c r="I57" s="6"/>
      <x:c r="J57" s="6"/>
      <x:c r="K57" s="6"/>
      <x:c r="L57" s="6"/>
      <x:c r="M57" s="6"/>
      <x:c r="N57" s="6"/>
      <x:c r="O57" s="6"/>
      <x:c r="P57" s="6"/>
      <x:c r="Q57" s="6"/>
    </x:row>
    <x:row r="58">
      <x:c r="A58" s="6"/>
      <x:c r="B58" s="6"/>
      <x:c r="C58" s="6"/>
      <x:c r="D58" s="6"/>
      <x:c r="E58" s="6"/>
      <x:c r="F58" s="6"/>
      <x:c r="G58" s="6"/>
      <x:c r="H58" s="6"/>
      <x:c r="I58" s="6"/>
      <x:c r="J58" s="6"/>
      <x:c r="K58" s="6"/>
      <x:c r="L58" s="6"/>
      <x:c r="M58" s="6"/>
      <x:c r="N58" s="6"/>
      <x:c r="O58" s="6"/>
      <x:c r="P58" s="6"/>
      <x:c r="Q58" s="6"/>
    </x:row>
    <x:row r="59">
      <x:c r="A59" s="6"/>
      <x:c r="B59" s="6"/>
      <x:c r="C59" s="6"/>
      <x:c r="D59" s="6"/>
      <x:c r="E59" s="6"/>
      <x:c r="F59" s="6"/>
      <x:c r="G59" s="6"/>
      <x:c r="H59" s="6"/>
      <x:c r="I59" s="6"/>
      <x:c r="J59" s="6"/>
      <x:c r="K59" s="6"/>
      <x:c r="L59" s="6"/>
      <x:c r="M59" s="6"/>
      <x:c r="N59" s="6"/>
      <x:c r="O59" s="6"/>
      <x:c r="P59" s="6"/>
      <x:c r="Q59" s="6"/>
    </x:row>
    <x:row r="60">
      <x:c r="A60" s="6"/>
      <x:c r="B60" s="6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  <x:c r="O60" s="6"/>
      <x:c r="P60" s="6"/>
      <x:c r="Q60" s="6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25"/>
  <x:cols>
    <x:col min="1" max="1" width="17" customWidth="1"/>
    <x:col min="2" max="2" width="17" style="32" customWidth="1"/>
    <x:col min="3" max="3" width="17" customWidth="1"/>
    <x:col min="4" max="15" width="16.625" customWidth="1"/>
  </x:cols>
  <x:sheetData>
    <x:row r="1" ht="117">
      <x:c r="A1" s="10" t="s">
        <x:v>112</x:v>
      </x:c>
      <x:c r="B1" s="2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</x:row>
    <x:row r="2">
      <x:c r="A2" s="6"/>
      <x:c r="B2" s="2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</x:row>
    <x:row r="3" ht="30">
      <x:c r="A3" s="12" t="s">
        <x:v>113</x:v>
      </x:c>
      <x:c r="B3" s="26"/>
      <x:c r="C3" s="6"/>
      <x:c r="D3" s="13" t="s">
        <x:v>114</x:v>
      </x:c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</x:row>
    <x:row r="4" ht="32.099998474121094" customHeight="1">
      <x:c r="A4" s="7" t="s">
        <x:v>50</x:v>
      </x:c>
      <x:c r="B4" s="33" t="str">
        <x:f>'02_Build'!B9</x:f>
        <x:v>Portrait</x:v>
      </x:c>
      <x:c r="C4" s="6"/>
      <x:c r="D4" s="15" t="s">
        <x:v>88</x:v>
      </x:c>
      <x:c r="E4" s="15" t="s">
        <x:v>88</x:v>
      </x:c>
      <x:c r="F4" s="16" t="s">
        <x:v>89</x:v>
      </x:c>
      <x:c r="G4" s="16" t="s">
        <x:v>89</x:v>
      </x:c>
      <x:c r="H4" s="17" t="s">
        <x:v>90</x:v>
      </x:c>
      <x:c r="I4" s="17" t="s">
        <x:v>90</x:v>
      </x:c>
      <x:c r="J4" s="18" t="s">
        <x:v>91</x:v>
      </x:c>
      <x:c r="K4" s="18" t="s">
        <x:v>91</x:v>
      </x:c>
      <x:c r="L4" s="19" t="s">
        <x:v>92</x:v>
      </x:c>
      <x:c r="M4" s="19" t="s">
        <x:v>92</x:v>
      </x:c>
      <x:c r="N4" s="20" t="s">
        <x:v>93</x:v>
      </x:c>
      <x:c r="O4" s="20" t="s">
        <x:v>93</x:v>
      </x:c>
      <x:c r="P4" s="6"/>
      <x:c r="Q4" s="6"/>
    </x:row>
    <x:row r="5" ht="32.099998474121094" customHeight="1">
      <x:c r="A5" s="7" t="s">
        <x:v>58</x:v>
      </x:c>
      <x:c r="B5" s="34" t="n">
        <x:f>'02_Build'!B11</x:f>
        <x:v>3</x:v>
      </x:c>
      <x:c r="C5" s="6"/>
      <x:c r="D5" s="15" t="s">
        <x:v>88</x:v>
      </x:c>
      <x:c r="E5" s="15" t="s">
        <x:v>88</x:v>
      </x:c>
      <x:c r="F5" s="16" t="s">
        <x:v>89</x:v>
      </x:c>
      <x:c r="G5" s="16" t="s">
        <x:v>89</x:v>
      </x:c>
      <x:c r="H5" s="17" t="s">
        <x:v>90</x:v>
      </x:c>
      <x:c r="I5" s="17" t="s">
        <x:v>90</x:v>
      </x:c>
      <x:c r="J5" s="18" t="s">
        <x:v>91</x:v>
      </x:c>
      <x:c r="K5" s="18" t="s">
        <x:v>91</x:v>
      </x:c>
      <x:c r="L5" s="19" t="s">
        <x:v>92</x:v>
      </x:c>
      <x:c r="M5" s="19" t="s">
        <x:v>92</x:v>
      </x:c>
      <x:c r="N5" s="20" t="s">
        <x:v>93</x:v>
      </x:c>
      <x:c r="O5" s="20" t="s">
        <x:v>93</x:v>
      </x:c>
      <x:c r="P5" s="6"/>
      <x:c r="Q5" s="6"/>
    </x:row>
    <x:row r="6" ht="32.099998474121094" customHeight="1">
      <x:c r="A6" s="7" t="s">
        <x:v>60</x:v>
      </x:c>
      <x:c r="B6" s="34" t="n">
        <x:f>'02_Build'!B12</x:f>
        <x:v>12</x:v>
      </x:c>
      <x:c r="C6" s="6"/>
      <x:c r="D6" s="15" t="s">
        <x:v>88</x:v>
      </x:c>
      <x:c r="E6" s="15" t="s">
        <x:v>88</x:v>
      </x:c>
      <x:c r="F6" s="16" t="s">
        <x:v>89</x:v>
      </x:c>
      <x:c r="G6" s="16" t="s">
        <x:v>89</x:v>
      </x:c>
      <x:c r="H6" s="17" t="s">
        <x:v>90</x:v>
      </x:c>
      <x:c r="I6" s="17" t="s">
        <x:v>90</x:v>
      </x:c>
      <x:c r="J6" s="18" t="s">
        <x:v>91</x:v>
      </x:c>
      <x:c r="K6" s="18" t="s">
        <x:v>91</x:v>
      </x:c>
      <x:c r="L6" s="19" t="s">
        <x:v>92</x:v>
      </x:c>
      <x:c r="M6" s="19" t="s">
        <x:v>92</x:v>
      </x:c>
      <x:c r="N6" s="20" t="s">
        <x:v>93</x:v>
      </x:c>
      <x:c r="O6" s="20" t="s">
        <x:v>93</x:v>
      </x:c>
      <x:c r="P6" s="6"/>
      <x:c r="Q6" s="6"/>
    </x:row>
    <x:row r="7" ht="15">
      <x:c r="A7" s="7" t="s">
        <x:v>65</x:v>
      </x:c>
      <x:c r="B7" s="34" t="n">
        <x:f>'02_Build'!B14</x:f>
        <x:v>37</x:v>
      </x:c>
      <x:c r="C7" s="6"/>
      <x:c r="D7" s="6"/>
      <x:c r="E7" s="6"/>
      <x:c r="F7" s="6"/>
      <x:c r="G7" s="6"/>
      <x:c r="H7" s="6"/>
      <x:c r="I7" s="6"/>
      <x:c r="J7" s="6"/>
      <x:c r="K7" s="6"/>
      <x:c r="L7" s="6"/>
      <x:c r="M7" s="6"/>
      <x:c r="N7" s="6"/>
      <x:c r="O7" s="6"/>
      <x:c r="P7" s="6"/>
      <x:c r="Q7" s="6"/>
    </x:row>
    <x:row r="8" ht="15">
      <x:c r="A8" s="7" t="s">
        <x:v>54</x:v>
      </x:c>
      <x:c r="B8" s="33" t="str">
        <x:f>'02_Build'!B10</x:f>
        <x:v>Single Mount</x:v>
      </x:c>
      <x:c r="C8" s="6"/>
      <x:c r="D8" s="6"/>
      <x:c r="E8" s="6"/>
      <x:c r="F8" s="6"/>
      <x:c r="G8" s="6"/>
      <x:c r="H8" s="6"/>
      <x:c r="I8" s="6"/>
      <x:c r="J8" s="6"/>
      <x:c r="K8" s="6"/>
      <x:c r="L8" s="6"/>
      <x:c r="M8" s="6"/>
      <x:c r="N8" s="6"/>
      <x:c r="O8" s="6"/>
      <x:c r="P8" s="6"/>
      <x:c r="Q8" s="6"/>
    </x:row>
    <x:row r="9" ht="15">
      <x:c r="A9" s="7" t="s">
        <x:v>71</x:v>
      </x:c>
      <x:c r="B9" s="34" t="n">
        <x:f>'02_Build'!F16</x:f>
        <x:v>47.44094488188976</x:v>
      </x:c>
      <x:c r="C9" s="6"/>
      <x:c r="D9" s="6"/>
      <x:c r="E9" s="6"/>
      <x:c r="F9" s="6"/>
      <x:c r="G9" s="6"/>
      <x:c r="H9" s="6"/>
      <x:c r="I9" s="6"/>
      <x:c r="J9" s="6"/>
      <x:c r="K9" s="6"/>
      <x:c r="L9" s="6"/>
      <x:c r="M9" s="6"/>
      <x:c r="N9" s="6"/>
      <x:c r="O9" s="6"/>
      <x:c r="P9" s="6"/>
      <x:c r="Q9" s="6"/>
    </x:row>
    <x:row r="10" ht="15">
      <x:c r="A10" s="7" t="s">
        <x:v>115</x:v>
      </x:c>
      <x:c r="B10" s="34" t="n">
        <x:f>'02_Build'!F17</x:f>
        <x:v>17.00787401574803</x:v>
      </x:c>
      <x:c r="C10" s="6"/>
      <x:c r="D10" s="6"/>
      <x:c r="E10" s="6"/>
      <x:c r="F10" s="6"/>
      <x:c r="G10" s="6"/>
      <x:c r="H10" s="6"/>
      <x:c r="I10" s="6"/>
      <x:c r="J10" s="6"/>
      <x:c r="K10" s="6"/>
      <x:c r="L10" s="6"/>
      <x:c r="M10" s="6"/>
      <x:c r="N10" s="6"/>
      <x:c r="O10" s="6"/>
      <x:c r="P10" s="6"/>
      <x:c r="Q10" s="6"/>
    </x:row>
    <x:row r="11" ht="15">
      <x:c r="A11" s="7" t="s">
        <x:v>77</x:v>
      </x:c>
      <x:c r="B11" s="34" t="n">
        <x:f>'02_Build'!F18</x:f>
        <x:v>13.583092139387027</x:v>
      </x:c>
      <x:c r="C11" s="6"/>
      <x:c r="D11" s="6"/>
      <x:c r="E11" s="6"/>
      <x:c r="F11" s="6"/>
      <x:c r="G11" s="6"/>
      <x:c r="H11" s="6"/>
      <x:c r="I11" s="6"/>
      <x:c r="J11" s="6"/>
      <x:c r="K11" s="6"/>
      <x:c r="L11" s="6"/>
      <x:c r="M11" s="6"/>
      <x:c r="N11" s="6"/>
      <x:c r="O11" s="6"/>
      <x:c r="P11" s="6"/>
      <x:c r="Q11" s="6"/>
    </x:row>
    <x:row r="12" ht="15">
      <x:c r="A12" s="7" t="s">
        <x:v>116</x:v>
      </x:c>
      <x:c r="B12" s="34" t="n">
        <x:f>'02_Build'!F19</x:f>
        <x:v>10.235594094554521</x:v>
      </x:c>
      <x:c r="C12" s="6"/>
      <x:c r="D12" s="6"/>
      <x:c r="E12" s="6"/>
      <x:c r="F12" s="6"/>
      <x:c r="G12" s="6"/>
      <x:c r="H12" s="6"/>
      <x:c r="I12" s="6"/>
      <x:c r="J12" s="6"/>
      <x:c r="K12" s="6"/>
      <x:c r="L12" s="6"/>
      <x:c r="M12" s="6"/>
      <x:c r="N12" s="6"/>
      <x:c r="O12" s="6"/>
      <x:c r="P12" s="6"/>
      <x:c r="Q12" s="6"/>
    </x:row>
    <x:row r="13">
      <x:c r="A13" s="6"/>
      <x:c r="B13" s="26"/>
      <x:c r="C13" s="6"/>
      <x:c r="D13" s="6"/>
      <x:c r="E13" s="6"/>
      <x:c r="F13" s="6"/>
      <x:c r="G13" s="6"/>
      <x:c r="H13" s="6"/>
      <x:c r="I13" s="6"/>
      <x:c r="J13" s="6"/>
      <x:c r="K13" s="6"/>
      <x:c r="L13" s="6"/>
      <x:c r="M13" s="6"/>
      <x:c r="N13" s="6"/>
      <x:c r="O13" s="6"/>
      <x:c r="P13" s="6"/>
      <x:c r="Q13" s="6"/>
    </x:row>
    <x:row r="14">
      <x:c r="A14" s="6"/>
      <x:c r="B14" s="26"/>
      <x:c r="C14" s="6"/>
      <x:c r="D14" s="6"/>
      <x:c r="E14" s="6"/>
      <x:c r="F14" s="6"/>
      <x:c r="G14" s="6"/>
      <x:c r="H14" s="6"/>
      <x:c r="I14" s="6"/>
      <x:c r="J14" s="6"/>
      <x:c r="K14" s="6"/>
      <x:c r="L14" s="6"/>
      <x:c r="M14" s="6"/>
      <x:c r="N14" s="6"/>
      <x:c r="O14" s="6"/>
      <x:c r="P14" s="6"/>
      <x:c r="Q14" s="6"/>
    </x:row>
    <x:row r="15" ht="30">
      <x:c r="A15" s="12" t="s">
        <x:v>117</x:v>
      </x:c>
      <x:c r="B15" s="26"/>
      <x:c r="C15" s="6"/>
      <x:c r="D15" s="6"/>
      <x:c r="E15" s="6"/>
      <x:c r="F15" s="6"/>
      <x:c r="G15" s="6"/>
      <x:c r="H15" s="6"/>
      <x:c r="I15" s="6"/>
      <x:c r="J15" s="6"/>
      <x:c r="K15" s="6"/>
      <x:c r="L15" s="6"/>
      <x:c r="M15" s="6"/>
      <x:c r="N15" s="6"/>
      <x:c r="O15" s="6"/>
      <x:c r="P15" s="6"/>
      <x:c r="Q15" s="6"/>
    </x:row>
    <x:row r="16" ht="15">
      <x:c r="A16" s="13" t="s">
        <x:v>118</x:v>
      </x:c>
      <x:c r="B16" s="35" t="s">
        <x:v>50</x:v>
      </x:c>
      <x:c r="C16" s="22" t="s">
        <x:v>119</x:v>
      </x:c>
      <x:c r="D16" s="22" t="s">
        <x:v>120</x:v>
      </x:c>
      <x:c r="E16" s="22" t="s">
        <x:v>121</x:v>
      </x:c>
      <x:c r="F16" s="22" t="s">
        <x:v>122</x:v>
      </x:c>
      <x:c r="G16" s="22" t="s">
        <x:v>116</x:v>
      </x:c>
      <x:c r="H16" s="22" t="s">
        <x:v>77</x:v>
      </x:c>
      <x:c r="I16" s="13" t="s">
        <x:v>123</x:v>
      </x:c>
      <x:c r="J16" s="13" t="s">
        <x:v>124</x:v>
      </x:c>
      <x:c r="K16" s="6"/>
      <x:c r="L16" s="6"/>
      <x:c r="M16" s="6"/>
      <x:c r="N16" s="6"/>
      <x:c r="O16" s="6"/>
      <x:c r="P16" s="6"/>
      <x:c r="Q16" s="6"/>
    </x:row>
    <x:row r="17" ht="28.5">
      <x:c r="A17" s="6" t="s">
        <x:v>125</x:v>
      </x:c>
      <x:c r="B17" s="26" t="s">
        <x:v>51</x:v>
      </x:c>
      <x:c r="C17" s="24">
        <x:v>3</x:v>
      </x:c>
      <x:c r="D17" s="24">
        <x:v>12</x:v>
      </x:c>
      <x:c r="E17" s="23" t="n">
        <x:f>C17*D17</x:f>
        <x:v>36</x:v>
      </x:c>
      <x:c r="F17" s="23" t="n">
        <x:f>IF(B17="Portrait",D17*'02_Build'!F14,D17*'02_Build'!F15)</x:f>
        <x:v>47.44094488188976</x:v>
      </x:c>
      <x:c r="G17" s="23" t="n">
        <x:f>IF(B17="Portrait",C17*'02_Build'!F15,C17*'02_Build'!F14)*SIN(RADIANS('02_Build'!$B$14))</x:f>
        <x:v>10.235594094554521</x:v>
      </x:c>
      <x:c r="H17" s="23" t="n">
        <x:f>IF(B17="Portrait",C17*'02_Build'!F15,C17*'02_Build'!F14)*COS(RADIANS('02_Build'!$B$14))</x:f>
        <x:v>13.583092139387027</x:v>
      </x:c>
      <x:c r="I17" s="6" t="s">
        <x:v>126</x:v>
      </x:c>
      <x:c r="J17" s="6" t="s">
        <x:v>127</x:v>
      </x:c>
      <x:c r="K17" s="6"/>
      <x:c r="L17" s="6"/>
      <x:c r="M17" s="6"/>
      <x:c r="N17" s="6"/>
      <x:c r="O17" s="6"/>
      <x:c r="P17" s="6"/>
      <x:c r="Q17" s="6"/>
    </x:row>
    <x:row r="18" ht="28.5">
      <x:c r="A18" s="6" t="s">
        <x:v>125</x:v>
      </x:c>
      <x:c r="B18" s="26" t="s">
        <x:v>128</x:v>
      </x:c>
      <x:c r="C18" s="24">
        <x:v>3</x:v>
      </x:c>
      <x:c r="D18" s="24">
        <x:v>12</x:v>
      </x:c>
      <x:c r="E18" s="23" t="n">
        <x:f>C18*D18</x:f>
        <x:v>36</x:v>
      </x:c>
      <x:c r="F18" s="23" t="n">
        <x:f>IF(B18="Portrait",D18*'02_Build'!F14,D18*'02_Build'!F15)</x:f>
        <x:v>68.03149606299212</x:v>
      </x:c>
      <x:c r="G18" s="23" t="n">
        <x:f>IF(B18="Portrait",C18*'02_Build'!F15,C18*'02_Build'!F14)*SIN(RADIANS('02_Build'!$B$14))</x:f>
        <x:v>7.137668335612384</x:v>
      </x:c>
      <x:c r="H18" s="23" t="n">
        <x:f>IF(B18="Portrait",C18*'02_Build'!F15,C18*'02_Build'!F14)*COS(RADIANS('02_Build'!$B$14))</x:f>
        <x:v>9.472005803218384</x:v>
      </x:c>
      <x:c r="I18" s="6" t="s">
        <x:v>126</x:v>
      </x:c>
      <x:c r="J18" s="6" t="s">
        <x:v>129</x:v>
      </x:c>
      <x:c r="K18" s="6"/>
      <x:c r="L18" s="6"/>
      <x:c r="M18" s="6"/>
      <x:c r="N18" s="6"/>
      <x:c r="O18" s="6"/>
      <x:c r="P18" s="6"/>
      <x:c r="Q18" s="6"/>
    </x:row>
    <x:row r="19" ht="42.75">
      <x:c r="A19" s="6" t="s">
        <x:v>130</x:v>
      </x:c>
      <x:c r="B19" s="26" t="s">
        <x:v>51</x:v>
      </x:c>
      <x:c r="C19" s="24">
        <x:v>2</x:v>
      </x:c>
      <x:c r="D19" s="24">
        <x:v>18</x:v>
      </x:c>
      <x:c r="E19" s="23" t="n">
        <x:f>C19*D19</x:f>
        <x:v>36</x:v>
      </x:c>
      <x:c r="F19" s="23" t="n">
        <x:f>IF(B19="Portrait",D19*'02_Build'!F14,D19*'02_Build'!F15)</x:f>
        <x:v>71.16141732283464</x:v>
      </x:c>
      <x:c r="G19" s="23" t="n">
        <x:f>IF(B19="Portrait",C19*'02_Build'!F15,C19*'02_Build'!F14)*SIN(RADIANS('02_Build'!$B$14))</x:f>
        <x:v>6.82372939636968</x:v>
      </x:c>
      <x:c r="H19" s="23" t="n">
        <x:f>IF(B19="Portrait",C19*'02_Build'!F15,C19*'02_Build'!F14)*COS(RADIANS('02_Build'!$B$14))</x:f>
        <x:v>9.055394759591351</x:v>
      </x:c>
      <x:c r="I19" s="6" t="s">
        <x:v>131</x:v>
      </x:c>
      <x:c r="J19" s="6" t="s">
        <x:v>132</x:v>
      </x:c>
      <x:c r="K19" s="6"/>
      <x:c r="L19" s="6"/>
      <x:c r="M19" s="6"/>
      <x:c r="N19" s="6"/>
      <x:c r="O19" s="6"/>
      <x:c r="P19" s="6"/>
      <x:c r="Q19" s="6"/>
    </x:row>
    <x:row r="20" ht="57">
      <x:c r="A20" s="6" t="s">
        <x:v>133</x:v>
      </x:c>
      <x:c r="B20" s="26" t="s">
        <x:v>51</x:v>
      </x:c>
      <x:c r="C20" s="24">
        <x:v>2</x:v>
      </x:c>
      <x:c r="D20" s="24">
        <x:v>9</x:v>
      </x:c>
      <x:c r="E20" s="23" t="n">
        <x:f>2*C20*D20</x:f>
        <x:v>36</x:v>
      </x:c>
      <x:c r="F20" s="23" t="n">
        <x:f>IF(B20="Portrait",D20*'02_Build'!F14,D20*'02_Build'!F15)</x:f>
        <x:v>35.58070866141732</x:v>
      </x:c>
      <x:c r="G20" s="23" t="n">
        <x:f>IF(B20="Portrait",C20*'02_Build'!F15,C20*'02_Build'!F14)*SIN(RADIANS('02_Build'!$B$14))</x:f>
        <x:v>6.82372939636968</x:v>
      </x:c>
      <x:c r="H20" s="23" t="n">
        <x:f>IF(B20="Portrait",C20*'02_Build'!F15,C20*'02_Build'!F14)*COS(RADIANS('02_Build'!$B$14))</x:f>
        <x:v>9.055394759591351</x:v>
      </x:c>
      <x:c r="I20" s="6" t="s">
        <x:v>134</x:v>
      </x:c>
      <x:c r="J20" s="6" t="s">
        <x:v>135</x:v>
      </x:c>
      <x:c r="K20" s="6"/>
      <x:c r="L20" s="6"/>
      <x:c r="M20" s="6"/>
      <x:c r="N20" s="6"/>
      <x:c r="O20" s="6"/>
      <x:c r="P20" s="6"/>
      <x:c r="Q20" s="6"/>
    </x:row>
    <x:row r="21">
      <x:c r="A21" s="6"/>
      <x:c r="B21" s="26"/>
      <x:c r="C21" s="6"/>
      <x:c r="D21" s="6"/>
      <x:c r="E21" s="6"/>
      <x:c r="F21" s="6"/>
      <x:c r="G21" s="6"/>
      <x:c r="H21" s="6"/>
      <x:c r="I21" s="6"/>
      <x:c r="J21" s="6"/>
      <x:c r="K21" s="6"/>
      <x:c r="L21" s="6"/>
      <x:c r="M21" s="6"/>
      <x:c r="N21" s="6"/>
      <x:c r="O21" s="6"/>
      <x:c r="P21" s="6"/>
      <x:c r="Q21" s="6"/>
    </x:row>
    <x:row r="22">
      <x:c r="A22" s="6"/>
      <x:c r="B22" s="26"/>
      <x:c r="C22" s="6"/>
      <x:c r="D22" s="6"/>
      <x:c r="E22" s="6"/>
      <x:c r="F22" s="6"/>
      <x:c r="G22" s="6"/>
      <x:c r="H22" s="6"/>
      <x:c r="I22" s="6"/>
      <x:c r="J22" s="6"/>
      <x:c r="K22" s="6"/>
      <x:c r="L22" s="6"/>
      <x:c r="M22" s="6"/>
      <x:c r="N22" s="6"/>
      <x:c r="O22" s="6"/>
      <x:c r="P22" s="6"/>
      <x:c r="Q22" s="6"/>
    </x:row>
    <x:row r="23">
      <x:c r="A23" s="6"/>
      <x:c r="B23" s="26"/>
      <x:c r="C23" s="6"/>
      <x:c r="D23" s="6"/>
      <x:c r="E23" s="6"/>
      <x:c r="F23" s="6"/>
      <x:c r="G23" s="6"/>
      <x:c r="H23" s="6"/>
      <x:c r="I23" s="6"/>
      <x:c r="J23" s="6"/>
      <x:c r="K23" s="6"/>
      <x:c r="L23" s="6"/>
      <x:c r="M23" s="6"/>
      <x:c r="N23" s="6"/>
      <x:c r="O23" s="6"/>
      <x:c r="P23" s="6"/>
      <x:c r="Q23" s="6"/>
    </x:row>
    <x:row r="24">
      <x:c r="A24" s="6"/>
      <x:c r="B24" s="26"/>
      <x:c r="C24" s="6"/>
      <x:c r="D24" s="6"/>
      <x:c r="E24" s="6"/>
      <x:c r="F24" s="6"/>
      <x:c r="G24" s="6"/>
      <x:c r="H24" s="6"/>
      <x:c r="I24" s="6"/>
      <x:c r="J24" s="6"/>
      <x:c r="K24" s="6"/>
      <x:c r="L24" s="6"/>
      <x:c r="M24" s="6"/>
      <x:c r="N24" s="6"/>
      <x:c r="O24" s="6"/>
      <x:c r="P24" s="6"/>
      <x:c r="Q24" s="6"/>
    </x:row>
    <x:row r="25">
      <x:c r="A25" s="6"/>
      <x:c r="B25" s="26"/>
      <x:c r="C25" s="6"/>
      <x:c r="D25" s="6"/>
      <x:c r="E25" s="6"/>
      <x:c r="F25" s="6"/>
      <x:c r="G25" s="6"/>
      <x:c r="H25" s="6"/>
      <x:c r="I25" s="6"/>
      <x:c r="J25" s="6"/>
      <x:c r="K25" s="6"/>
      <x:c r="L25" s="6"/>
      <x:c r="M25" s="6"/>
      <x:c r="N25" s="6"/>
      <x:c r="O25" s="6"/>
      <x:c r="P25" s="6"/>
      <x:c r="Q25" s="6"/>
    </x:row>
    <x:row r="26">
      <x:c r="A26" s="6"/>
      <x:c r="B26" s="26"/>
      <x:c r="C26" s="6"/>
      <x:c r="D26" s="6"/>
      <x:c r="E26" s="6"/>
      <x:c r="F26" s="6"/>
      <x:c r="G26" s="6"/>
      <x:c r="H26" s="6"/>
      <x:c r="I26" s="6"/>
      <x:c r="J26" s="6"/>
      <x:c r="K26" s="6"/>
      <x:c r="L26" s="6"/>
      <x:c r="M26" s="6"/>
      <x:c r="N26" s="6"/>
      <x:c r="O26" s="6"/>
      <x:c r="P26" s="6"/>
      <x:c r="Q26" s="6"/>
    </x:row>
    <x:row r="27">
      <x:c r="A27" s="6"/>
      <x:c r="B27" s="26"/>
      <x:c r="C27" s="6"/>
      <x:c r="D27" s="6"/>
      <x:c r="E27" s="6"/>
      <x:c r="F27" s="6"/>
      <x:c r="G27" s="6"/>
      <x:c r="H27" s="6"/>
      <x:c r="I27" s="6"/>
      <x:c r="J27" s="6"/>
      <x:c r="K27" s="6"/>
      <x:c r="L27" s="6"/>
      <x:c r="M27" s="6"/>
      <x:c r="N27" s="6"/>
      <x:c r="O27" s="6"/>
      <x:c r="P27" s="6"/>
      <x:c r="Q27" s="6"/>
    </x:row>
    <x:row r="28">
      <x:c r="A28" s="6"/>
      <x:c r="B28" s="26"/>
      <x:c r="C28" s="6"/>
      <x:c r="D28" s="6"/>
      <x:c r="E28" s="6"/>
      <x:c r="F28" s="6"/>
      <x:c r="G28" s="6"/>
      <x:c r="H28" s="6"/>
      <x:c r="I28" s="6"/>
      <x:c r="J28" s="6"/>
      <x:c r="K28" s="6"/>
      <x:c r="L28" s="6"/>
      <x:c r="M28" s="6"/>
      <x:c r="N28" s="6"/>
      <x:c r="O28" s="6"/>
      <x:c r="P28" s="6"/>
      <x:c r="Q28" s="6"/>
    </x:row>
    <x:row r="29">
      <x:c r="A29" s="6"/>
      <x:c r="B29" s="26"/>
      <x:c r="C29" s="6"/>
      <x:c r="D29" s="6"/>
      <x:c r="E29" s="6"/>
      <x:c r="F29" s="6"/>
      <x:c r="G29" s="6"/>
      <x:c r="H29" s="6"/>
      <x:c r="I29" s="6"/>
      <x:c r="J29" s="6"/>
      <x:c r="K29" s="6"/>
      <x:c r="L29" s="6"/>
      <x:c r="M29" s="6"/>
      <x:c r="N29" s="6"/>
      <x:c r="O29" s="6"/>
      <x:c r="P29" s="6"/>
      <x:c r="Q29" s="6"/>
    </x:row>
    <x:row r="30">
      <x:c r="A30" s="6"/>
      <x:c r="B30" s="26"/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/>
      <x:c r="N30" s="6"/>
      <x:c r="O30" s="6"/>
      <x:c r="P30" s="6"/>
      <x:c r="Q30" s="6"/>
    </x:row>
    <x:row r="31">
      <x:c r="A31" s="6"/>
      <x:c r="B31" s="26"/>
      <x:c r="C31" s="6"/>
      <x:c r="D31" s="6"/>
      <x:c r="E31" s="6"/>
      <x:c r="F31" s="6"/>
      <x:c r="G31" s="6"/>
      <x:c r="H31" s="6"/>
      <x:c r="I31" s="6"/>
      <x:c r="J31" s="6"/>
      <x:c r="K31" s="6"/>
      <x:c r="L31" s="6"/>
      <x:c r="M31" s="6"/>
      <x:c r="N31" s="6"/>
      <x:c r="O31" s="6"/>
      <x:c r="P31" s="6"/>
      <x:c r="Q31" s="6"/>
    </x:row>
    <x:row r="32">
      <x:c r="A32" s="6"/>
      <x:c r="B32" s="26"/>
      <x:c r="C32" s="6"/>
      <x:c r="D32" s="6"/>
      <x:c r="E32" s="6"/>
      <x:c r="F32" s="6"/>
      <x:c r="G32" s="6"/>
      <x:c r="H32" s="6"/>
      <x:c r="I32" s="6"/>
      <x:c r="J32" s="6"/>
      <x:c r="K32" s="6"/>
      <x:c r="L32" s="6"/>
      <x:c r="M32" s="6"/>
      <x:c r="N32" s="6"/>
      <x:c r="O32" s="6"/>
      <x:c r="P32" s="6"/>
      <x:c r="Q32" s="6"/>
    </x:row>
    <x:row r="33">
      <x:c r="A33" s="6"/>
      <x:c r="B33" s="26"/>
      <x:c r="C33" s="6"/>
      <x:c r="D33" s="6"/>
      <x:c r="E33" s="6"/>
      <x:c r="F33" s="6"/>
      <x:c r="G33" s="6"/>
      <x:c r="H33" s="6"/>
      <x:c r="I33" s="6"/>
      <x:c r="J33" s="6"/>
      <x:c r="K33" s="6"/>
      <x:c r="L33" s="6"/>
      <x:c r="M33" s="6"/>
      <x:c r="N33" s="6"/>
      <x:c r="O33" s="6"/>
      <x:c r="P33" s="6"/>
      <x:c r="Q33" s="6"/>
    </x:row>
    <x:row r="34">
      <x:c r="A34" s="6"/>
      <x:c r="B34" s="26"/>
      <x:c r="C34" s="6"/>
      <x:c r="D34" s="6"/>
      <x:c r="E34" s="6"/>
      <x:c r="F34" s="6"/>
      <x:c r="G34" s="6"/>
      <x:c r="H34" s="6"/>
      <x:c r="I34" s="6"/>
      <x:c r="J34" s="6"/>
      <x:c r="K34" s="6"/>
      <x:c r="L34" s="6"/>
      <x:c r="M34" s="6"/>
      <x:c r="N34" s="6"/>
      <x:c r="O34" s="6"/>
      <x:c r="P34" s="6"/>
      <x:c r="Q34" s="6"/>
    </x:row>
    <x:row r="35">
      <x:c r="A35" s="6"/>
      <x:c r="B35" s="26"/>
      <x:c r="C35" s="6"/>
      <x:c r="D35" s="6"/>
      <x:c r="E35" s="6"/>
      <x:c r="F35" s="6"/>
      <x:c r="G35" s="6"/>
      <x:c r="H35" s="6"/>
      <x:c r="I35" s="6"/>
      <x:c r="J35" s="6"/>
      <x:c r="K35" s="6"/>
      <x:c r="L35" s="6"/>
      <x:c r="M35" s="6"/>
      <x:c r="N35" s="6"/>
      <x:c r="O35" s="6"/>
      <x:c r="P35" s="6"/>
      <x:c r="Q35" s="6"/>
    </x:row>
    <x:row r="36">
      <x:c r="A36" s="6"/>
      <x:c r="B36" s="26"/>
      <x:c r="C36" s="6"/>
      <x:c r="D36" s="6"/>
      <x:c r="E36" s="6"/>
      <x:c r="F36" s="6"/>
      <x:c r="G36" s="6"/>
      <x:c r="H36" s="6"/>
      <x:c r="I36" s="6"/>
      <x:c r="J36" s="6"/>
      <x:c r="K36" s="6"/>
      <x:c r="L36" s="6"/>
      <x:c r="M36" s="6"/>
      <x:c r="N36" s="6"/>
      <x:c r="O36" s="6"/>
      <x:c r="P36" s="6"/>
      <x:c r="Q36" s="6"/>
    </x:row>
    <x:row r="37">
      <x:c r="A37" s="6"/>
      <x:c r="B37" s="26"/>
      <x:c r="C37" s="6"/>
      <x:c r="D37" s="6"/>
      <x:c r="E37" s="6"/>
      <x:c r="F37" s="6"/>
      <x:c r="G37" s="6"/>
      <x:c r="H37" s="6"/>
      <x:c r="I37" s="6"/>
      <x:c r="J37" s="6"/>
      <x:c r="K37" s="6"/>
      <x:c r="L37" s="6"/>
      <x:c r="M37" s="6"/>
      <x:c r="N37" s="6"/>
      <x:c r="O37" s="6"/>
      <x:c r="P37" s="6"/>
      <x:c r="Q37" s="6"/>
    </x:row>
    <x:row r="38">
      <x:c r="A38" s="6"/>
      <x:c r="B38" s="26"/>
      <x:c r="C38" s="6"/>
      <x:c r="D38" s="6"/>
      <x:c r="E38" s="6"/>
      <x:c r="F38" s="6"/>
      <x:c r="G38" s="6"/>
      <x:c r="H38" s="6"/>
      <x:c r="I38" s="6"/>
      <x:c r="J38" s="6"/>
      <x:c r="K38" s="6"/>
      <x:c r="L38" s="6"/>
      <x:c r="M38" s="6"/>
      <x:c r="N38" s="6"/>
      <x:c r="O38" s="6"/>
      <x:c r="P38" s="6"/>
      <x:c r="Q38" s="6"/>
    </x:row>
    <x:row r="39">
      <x:c r="A39" s="6"/>
      <x:c r="B39" s="26"/>
      <x:c r="C39" s="6"/>
      <x:c r="D39" s="6"/>
      <x:c r="E39" s="6"/>
      <x:c r="F39" s="6"/>
      <x:c r="G39" s="6"/>
      <x:c r="H39" s="6"/>
      <x:c r="I39" s="6"/>
      <x:c r="J39" s="6"/>
      <x:c r="K39" s="6"/>
      <x:c r="L39" s="6"/>
      <x:c r="M39" s="6"/>
      <x:c r="N39" s="6"/>
      <x:c r="O39" s="6"/>
      <x:c r="P39" s="6"/>
      <x:c r="Q39" s="6"/>
    </x:row>
    <x:row r="40">
      <x:c r="A40" s="6"/>
      <x:c r="B40" s="26"/>
      <x:c r="C40" s="6"/>
      <x:c r="D40" s="6"/>
      <x:c r="E40" s="6"/>
      <x:c r="F40" s="6"/>
      <x:c r="G40" s="6"/>
      <x:c r="H40" s="6"/>
      <x:c r="I40" s="6"/>
      <x:c r="J40" s="6"/>
      <x:c r="K40" s="6"/>
      <x:c r="L40" s="6"/>
      <x:c r="M40" s="6"/>
      <x:c r="N40" s="6"/>
      <x:c r="O40" s="6"/>
      <x:c r="P40" s="6"/>
      <x:c r="Q40" s="6"/>
    </x:row>
    <x:row r="41">
      <x:c r="A41" s="6"/>
      <x:c r="B41" s="26"/>
      <x:c r="C41" s="6"/>
      <x:c r="D41" s="6"/>
      <x:c r="E41" s="6"/>
      <x:c r="F41" s="6"/>
      <x:c r="G41" s="6"/>
      <x:c r="H41" s="6"/>
      <x:c r="I41" s="6"/>
      <x:c r="J41" s="6"/>
      <x:c r="K41" s="6"/>
      <x:c r="L41" s="6"/>
      <x:c r="M41" s="6"/>
      <x:c r="N41" s="6"/>
      <x:c r="O41" s="6"/>
      <x:c r="P41" s="6"/>
      <x:c r="Q41" s="6"/>
    </x:row>
    <x:row r="42">
      <x:c r="A42" s="6"/>
      <x:c r="B42" s="26"/>
      <x:c r="C42" s="6"/>
      <x:c r="D42" s="6"/>
      <x:c r="E42" s="6"/>
      <x:c r="F42" s="6"/>
      <x:c r="G42" s="6"/>
      <x:c r="H42" s="6"/>
      <x:c r="I42" s="6"/>
      <x:c r="J42" s="6"/>
      <x:c r="K42" s="6"/>
      <x:c r="L42" s="6"/>
      <x:c r="M42" s="6"/>
      <x:c r="N42" s="6"/>
      <x:c r="O42" s="6"/>
      <x:c r="P42" s="6"/>
      <x:c r="Q42" s="6"/>
    </x:row>
    <x:row r="43">
      <x:c r="A43" s="6"/>
      <x:c r="B43" s="26"/>
      <x:c r="C43" s="6"/>
      <x:c r="D43" s="6"/>
      <x:c r="E43" s="6"/>
      <x:c r="F43" s="6"/>
      <x:c r="G43" s="6"/>
      <x:c r="H43" s="6"/>
      <x:c r="I43" s="6"/>
      <x:c r="J43" s="6"/>
      <x:c r="K43" s="6"/>
      <x:c r="L43" s="6"/>
      <x:c r="M43" s="6"/>
      <x:c r="N43" s="6"/>
      <x:c r="O43" s="6"/>
      <x:c r="P43" s="6"/>
      <x:c r="Q43" s="6"/>
    </x:row>
    <x:row r="44">
      <x:c r="A44" s="6"/>
      <x:c r="B44" s="26"/>
      <x:c r="C44" s="6"/>
      <x:c r="D44" s="6"/>
      <x:c r="E44" s="6"/>
      <x:c r="F44" s="6"/>
      <x:c r="G44" s="6"/>
      <x:c r="H44" s="6"/>
      <x:c r="I44" s="6"/>
      <x:c r="J44" s="6"/>
      <x:c r="K44" s="6"/>
      <x:c r="L44" s="6"/>
      <x:c r="M44" s="6"/>
      <x:c r="N44" s="6"/>
      <x:c r="O44" s="6"/>
      <x:c r="P44" s="6"/>
      <x:c r="Q44" s="6"/>
    </x:row>
    <x:row r="45">
      <x:c r="A45" s="6"/>
      <x:c r="B45" s="26"/>
      <x:c r="C45" s="6"/>
      <x:c r="D45" s="6"/>
      <x:c r="E45" s="6"/>
      <x:c r="F45" s="6"/>
      <x:c r="G45" s="6"/>
      <x:c r="H45" s="6"/>
      <x:c r="I45" s="6"/>
      <x:c r="J45" s="6"/>
      <x:c r="K45" s="6"/>
      <x:c r="L45" s="6"/>
      <x:c r="M45" s="6"/>
      <x:c r="N45" s="6"/>
      <x:c r="O45" s="6"/>
      <x:c r="P45" s="6"/>
      <x:c r="Q45" s="6"/>
    </x:row>
    <x:row r="46">
      <x:c r="A46" s="6"/>
      <x:c r="B46" s="26"/>
      <x:c r="C46" s="6"/>
      <x:c r="D46" s="6"/>
      <x:c r="E46" s="6"/>
      <x:c r="F46" s="6"/>
      <x:c r="G46" s="6"/>
      <x:c r="H46" s="6"/>
      <x:c r="I46" s="6"/>
      <x:c r="J46" s="6"/>
      <x:c r="K46" s="6"/>
      <x:c r="L46" s="6"/>
      <x:c r="M46" s="6"/>
      <x:c r="N46" s="6"/>
      <x:c r="O46" s="6"/>
      <x:c r="P46" s="6"/>
      <x:c r="Q46" s="6"/>
    </x:row>
    <x:row r="47">
      <x:c r="A47" s="6"/>
      <x:c r="B47" s="26"/>
      <x:c r="C47" s="6"/>
      <x:c r="D47" s="6"/>
      <x:c r="E47" s="6"/>
      <x:c r="F47" s="6"/>
      <x:c r="G47" s="6"/>
      <x:c r="H47" s="6"/>
      <x:c r="I47" s="6"/>
      <x:c r="J47" s="6"/>
      <x:c r="K47" s="6"/>
      <x:c r="L47" s="6"/>
      <x:c r="M47" s="6"/>
      <x:c r="N47" s="6"/>
      <x:c r="O47" s="6"/>
      <x:c r="P47" s="6"/>
      <x:c r="Q47" s="6"/>
    </x:row>
    <x:row r="48">
      <x:c r="A48" s="6"/>
      <x:c r="B48" s="26"/>
      <x:c r="C48" s="6"/>
      <x:c r="D48" s="6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</x:row>
    <x:row r="49">
      <x:c r="A49" s="6"/>
      <x:c r="B49" s="26"/>
      <x:c r="C49" s="6"/>
      <x:c r="D49" s="6"/>
      <x:c r="E49" s="6"/>
      <x:c r="F49" s="6"/>
      <x:c r="G49" s="6"/>
      <x:c r="H49" s="6"/>
      <x:c r="I49" s="6"/>
      <x:c r="J49" s="6"/>
      <x:c r="K49" s="6"/>
      <x:c r="L49" s="6"/>
      <x:c r="M49" s="6"/>
      <x:c r="N49" s="6"/>
      <x:c r="O49" s="6"/>
      <x:c r="P49" s="6"/>
      <x:c r="Q49" s="6"/>
    </x:row>
    <x:row r="50">
      <x:c r="A50" s="6"/>
      <x:c r="B50" s="2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</x:row>
    <x:row r="51">
      <x:c r="A51" s="6"/>
      <x:c r="B51" s="26"/>
      <x:c r="C51" s="6"/>
      <x:c r="D51" s="6"/>
      <x:c r="E51" s="6"/>
      <x:c r="F51" s="6"/>
      <x:c r="G51" s="6"/>
      <x:c r="H51" s="6"/>
      <x:c r="I51" s="6"/>
      <x:c r="J51" s="6"/>
      <x:c r="K51" s="6"/>
      <x:c r="L51" s="6"/>
      <x:c r="M51" s="6"/>
      <x:c r="N51" s="6"/>
      <x:c r="O51" s="6"/>
      <x:c r="P51" s="6"/>
      <x:c r="Q51" s="6"/>
    </x:row>
    <x:row r="52">
      <x:c r="A52" s="6"/>
      <x:c r="B52" s="2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</x:row>
    <x:row r="53">
      <x:c r="A53" s="6"/>
      <x:c r="B53" s="26"/>
      <x:c r="C53" s="6"/>
      <x:c r="D53" s="6"/>
      <x:c r="E53" s="6"/>
      <x:c r="F53" s="6"/>
      <x:c r="G53" s="6"/>
      <x:c r="H53" s="6"/>
      <x:c r="I53" s="6"/>
      <x:c r="J53" s="6"/>
      <x:c r="K53" s="6"/>
      <x:c r="L53" s="6"/>
      <x:c r="M53" s="6"/>
      <x:c r="N53" s="6"/>
      <x:c r="O53" s="6"/>
      <x:c r="P53" s="6"/>
      <x:c r="Q53" s="6"/>
    </x:row>
    <x:row r="54">
      <x:c r="A54" s="6"/>
      <x:c r="B54" s="26"/>
      <x:c r="C54" s="6"/>
      <x:c r="D54" s="6"/>
      <x:c r="E54" s="6"/>
      <x:c r="F54" s="6"/>
      <x:c r="G54" s="6"/>
      <x:c r="H54" s="6"/>
      <x:c r="I54" s="6"/>
      <x:c r="J54" s="6"/>
      <x:c r="K54" s="6"/>
      <x:c r="L54" s="6"/>
      <x:c r="M54" s="6"/>
      <x:c r="N54" s="6"/>
      <x:c r="O54" s="6"/>
      <x:c r="P54" s="6"/>
      <x:c r="Q54" s="6"/>
    </x:row>
    <x:row r="55">
      <x:c r="A55" s="6"/>
      <x:c r="B55" s="26"/>
      <x:c r="C55" s="6"/>
      <x:c r="D55" s="6"/>
      <x:c r="E55" s="6"/>
      <x:c r="F55" s="6"/>
      <x:c r="G55" s="6"/>
      <x:c r="H55" s="6"/>
      <x:c r="I55" s="6"/>
      <x:c r="J55" s="6"/>
      <x:c r="K55" s="6"/>
      <x:c r="L55" s="6"/>
      <x:c r="M55" s="6"/>
      <x:c r="N55" s="6"/>
      <x:c r="O55" s="6"/>
      <x:c r="P55" s="6"/>
      <x:c r="Q55" s="6"/>
    </x:row>
    <x:row r="56">
      <x:c r="A56" s="6"/>
      <x:c r="B56" s="26"/>
      <x:c r="C56" s="6"/>
      <x:c r="D56" s="6"/>
      <x:c r="E56" s="6"/>
      <x:c r="F56" s="6"/>
      <x:c r="G56" s="6"/>
      <x:c r="H56" s="6"/>
      <x:c r="I56" s="6"/>
      <x:c r="J56" s="6"/>
      <x:c r="K56" s="6"/>
      <x:c r="L56" s="6"/>
      <x:c r="M56" s="6"/>
      <x:c r="N56" s="6"/>
      <x:c r="O56" s="6"/>
      <x:c r="P56" s="6"/>
      <x:c r="Q56" s="6"/>
    </x:row>
    <x:row r="57">
      <x:c r="A57" s="6"/>
      <x:c r="B57" s="26"/>
      <x:c r="C57" s="6"/>
      <x:c r="D57" s="6"/>
      <x:c r="E57" s="6"/>
      <x:c r="F57" s="6"/>
      <x:c r="G57" s="6"/>
      <x:c r="H57" s="6"/>
      <x:c r="I57" s="6"/>
      <x:c r="J57" s="6"/>
      <x:c r="K57" s="6"/>
      <x:c r="L57" s="6"/>
      <x:c r="M57" s="6"/>
      <x:c r="N57" s="6"/>
      <x:c r="O57" s="6"/>
      <x:c r="P57" s="6"/>
      <x:c r="Q57" s="6"/>
    </x:row>
    <x:row r="58">
      <x:c r="A58" s="6"/>
      <x:c r="B58" s="26"/>
      <x:c r="C58" s="6"/>
      <x:c r="D58" s="6"/>
      <x:c r="E58" s="6"/>
      <x:c r="F58" s="6"/>
      <x:c r="G58" s="6"/>
      <x:c r="H58" s="6"/>
      <x:c r="I58" s="6"/>
      <x:c r="J58" s="6"/>
      <x:c r="K58" s="6"/>
      <x:c r="L58" s="6"/>
      <x:c r="M58" s="6"/>
      <x:c r="N58" s="6"/>
      <x:c r="O58" s="6"/>
      <x:c r="P58" s="6"/>
      <x:c r="Q58" s="6"/>
    </x:row>
    <x:row r="59">
      <x:c r="A59" s="6"/>
      <x:c r="B59" s="26"/>
      <x:c r="C59" s="6"/>
      <x:c r="D59" s="6"/>
      <x:c r="E59" s="6"/>
      <x:c r="F59" s="6"/>
      <x:c r="G59" s="6"/>
      <x:c r="H59" s="6"/>
      <x:c r="I59" s="6"/>
      <x:c r="J59" s="6"/>
      <x:c r="K59" s="6"/>
      <x:c r="L59" s="6"/>
      <x:c r="M59" s="6"/>
      <x:c r="N59" s="6"/>
      <x:c r="O59" s="6"/>
      <x:c r="P59" s="6"/>
      <x:c r="Q59" s="6"/>
    </x:row>
    <x:row r="60">
      <x:c r="A60" s="6"/>
      <x:c r="B60" s="26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  <x:c r="O60" s="6"/>
      <x:c r="P60" s="6"/>
      <x:c r="Q60" s="6"/>
    </x:row>
    <x:row r="61">
      <x:c r="A61" s="1"/>
      <x:c r="B61" s="3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</x:row>
    <x:row r="62">
      <x:c r="A62" s="1"/>
      <x:c r="B62" s="3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</x:row>
    <x:row r="63">
      <x:c r="A63" s="1"/>
      <x:c r="B63" s="3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</x:row>
    <x:row r="64">
      <x:c r="A64" s="1"/>
      <x:c r="B64" s="3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</x:row>
    <x:row r="65">
      <x:c r="A65" s="1"/>
      <x:c r="B65" s="3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</x:row>
    <x:row r="66">
      <x:c r="A66" s="1"/>
      <x:c r="B66" s="3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</x:row>
    <x:row r="67">
      <x:c r="A67" s="1"/>
      <x:c r="B67" s="3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</x:row>
    <x:row r="68">
      <x:c r="A68" s="1"/>
      <x:c r="B68" s="3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</x:row>
    <x:row r="69">
      <x:c r="A69" s="1"/>
      <x:c r="B69" s="3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</x:row>
    <x:row r="70">
      <x:c r="A70" s="1"/>
      <x:c r="B70" s="3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</x:row>
    <x:row r="71">
      <x:c r="A71" s="1"/>
      <x:c r="B71" s="3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</x:row>
    <x:row r="72">
      <x:c r="A72" s="1"/>
      <x:c r="B72" s="3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</x:row>
    <x:row r="73">
      <x:c r="A73" s="1"/>
      <x:c r="B73" s="3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</x:row>
    <x:row r="74">
      <x:c r="A74" s="1"/>
      <x:c r="B74" s="3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</x:row>
    <x:row r="75">
      <x:c r="A75" s="1"/>
      <x:c r="B75" s="3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</x:row>
    <x:row r="76">
      <x:c r="A76" s="1"/>
      <x:c r="B76" s="3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</x:row>
    <x:row r="77">
      <x:c r="A77" s="1"/>
      <x:c r="B77" s="3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</x:row>
    <x:row r="78">
      <x:c r="A78" s="1"/>
      <x:c r="B78" s="3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</x:row>
    <x:row r="79">
      <x:c r="A79" s="1"/>
      <x:c r="B79" s="3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</x:row>
    <x:row r="80">
      <x:c r="A80" s="1"/>
      <x:c r="B80" s="3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.25"/>
  <x:cols>
    <x:col min="1" max="1" width="31" customWidth="1"/>
    <x:col min="2" max="8" width="19" customWidth="1"/>
  </x:cols>
  <x:sheetData>
    <x:row r="1" ht="58.5">
      <x:c r="A1" s="10" t="s">
        <x:v>136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</x:row>
    <x:row r="2">
      <x:c r="A2" s="6"/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</x:row>
    <x:row r="3" ht="30">
      <x:c r="A3" s="12" t="s">
        <x:v>137</x:v>
      </x:c>
      <x:c r="B3" s="6"/>
      <x:c r="C3" s="6"/>
      <x:c r="D3" s="13" t="s">
        <x:v>138</x:v>
      </x:c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</x:row>
    <x:row r="4" ht="15">
      <x:c r="A4" s="7" t="s">
        <x:v>139</x:v>
      </x:c>
      <x:c r="B4" s="8" t="s">
        <x:v>140</x:v>
      </x:c>
      <x:c r="C4" s="6"/>
      <x:c r="D4" s="13" t="s">
        <x:v>94</x:v>
      </x:c>
      <x:c r="E4" s="13" t="s">
        <x:v>141</x:v>
      </x:c>
      <x:c r="F4" s="13" t="s">
        <x:v>142</x:v>
      </x:c>
      <x:c r="G4" s="13" t="s">
        <x:v>143</x:v>
      </x:c>
      <x:c r="H4" s="13" t="s">
        <x:v>144</x:v>
      </x:c>
      <x:c r="I4" s="6"/>
      <x:c r="J4" s="6"/>
      <x:c r="K4" s="6"/>
      <x:c r="L4" s="6"/>
      <x:c r="M4" s="6"/>
      <x:c r="N4" s="6"/>
      <x:c r="O4" s="6"/>
      <x:c r="P4" s="6"/>
      <x:c r="Q4" s="6"/>
    </x:row>
    <x:row r="5" ht="15">
      <x:c r="A5" s="7" t="s">
        <x:v>145</x:v>
      </x:c>
      <x:c r="B5" s="8">
        <x:v>2</x:v>
      </x:c>
      <x:c r="C5" s="6"/>
      <x:c r="D5" s="6" t="s">
        <x:v>88</x:v>
      </x:c>
      <x:c r="E5" s="6" t="s">
        <x:v>146</x:v>
      </x:c>
      <x:c r="F5" s="6" t="str">
        <x:f>IF($B$5&gt;=2,"YES","NO")</x:f>
        <x:v>YES</x:v>
      </x:c>
      <x:c r="G5" s="21" t="n">
        <x:f t="shared" ref="G5:G10" si="0">IF(F5="YES",$B$6,$B$7)</x:f>
        <x:v>0.15</x:v>
      </x:c>
      <x:c r="H5" s="6" t="str">
        <x:f>'02_Build'!C29</x:f>
        <x:v>MPPT1</x:v>
      </x:c>
      <x:c r="I5" s="6"/>
      <x:c r="J5" s="6"/>
      <x:c r="K5" s="6"/>
      <x:c r="L5" s="6"/>
      <x:c r="M5" s="6"/>
      <x:c r="N5" s="6"/>
      <x:c r="O5" s="6"/>
      <x:c r="P5" s="6"/>
      <x:c r="Q5" s="6"/>
    </x:row>
    <x:row r="6" ht="15">
      <x:c r="A6" s="7" t="s">
        <x:v>147</x:v>
      </x:c>
      <x:c r="B6" s="29">
        <x:v>0.15</x:v>
      </x:c>
      <x:c r="C6" s="6"/>
      <x:c r="D6" s="6" t="s">
        <x:v>89</x:v>
      </x:c>
      <x:c r="E6" s="6" t="s">
        <x:v>148</x:v>
      </x:c>
      <x:c r="F6" s="6" t="str">
        <x:f>IF($B$5&gt;=4,"YES","NO")</x:f>
        <x:v>NO</x:v>
      </x:c>
      <x:c r="G6" s="21">
        <x:f t="shared" si="0"/>
        <x:v>1</x:v>
      </x:c>
      <x:c r="H6" s="6" t="str">
        <x:f>'02_Build'!C30</x:f>
        <x:v>MPPT2</x:v>
      </x:c>
      <x:c r="I6" s="6"/>
      <x:c r="J6" s="6"/>
      <x:c r="K6" s="6"/>
      <x:c r="L6" s="6"/>
      <x:c r="M6" s="6"/>
      <x:c r="N6" s="6"/>
      <x:c r="O6" s="6"/>
      <x:c r="P6" s="6"/>
      <x:c r="Q6" s="6"/>
    </x:row>
    <x:row r="7" ht="15">
      <x:c r="A7" s="7" t="s">
        <x:v>149</x:v>
      </x:c>
      <x:c r="B7" s="29">
        <x:v>1</x:v>
      </x:c>
      <x:c r="C7" s="6"/>
      <x:c r="D7" s="6" t="s">
        <x:v>90</x:v>
      </x:c>
      <x:c r="E7" s="6" t="s">
        <x:v>150</x:v>
      </x:c>
      <x:c r="F7" s="6" t="str">
        <x:f>IF($B$5&gt;=6,"YES","NO")</x:f>
        <x:v>NO</x:v>
      </x:c>
      <x:c r="G7" s="21">
        <x:f t="shared" si="0"/>
        <x:v>1</x:v>
      </x:c>
      <x:c r="H7" s="6" t="str">
        <x:f>'02_Build'!C31</x:f>
        <x:v>MPPT3</x:v>
      </x:c>
      <x:c r="I7" s="6"/>
      <x:c r="J7" s="6"/>
      <x:c r="K7" s="6"/>
      <x:c r="L7" s="6"/>
      <x:c r="M7" s="6"/>
      <x:c r="N7" s="6"/>
      <x:c r="O7" s="6"/>
      <x:c r="P7" s="6"/>
      <x:c r="Q7" s="6"/>
    </x:row>
    <x:row r="8" ht="15">
      <x:c r="A8" s="7" t="s">
        <x:v>151</x:v>
      </x:c>
      <x:c r="B8" s="8" t="s">
        <x:v>152</x:v>
      </x:c>
      <x:c r="C8" s="6"/>
      <x:c r="D8" s="6" t="s">
        <x:v>91</x:v>
      </x:c>
      <x:c r="E8" s="6" t="s">
        <x:v>153</x:v>
      </x:c>
      <x:c r="F8" s="6" t="str">
        <x:f>IF($B$5&gt;=8,"YES","NO")</x:f>
        <x:v>NO</x:v>
      </x:c>
      <x:c r="G8" s="21">
        <x:f t="shared" si="0"/>
        <x:v>1</x:v>
      </x:c>
      <x:c r="H8" s="6" t="str">
        <x:f>'02_Build'!C32</x:f>
        <x:v>MPPT3</x:v>
      </x:c>
      <x:c r="I8" s="6"/>
      <x:c r="J8" s="6"/>
      <x:c r="K8" s="6"/>
      <x:c r="L8" s="6"/>
      <x:c r="M8" s="6"/>
      <x:c r="N8" s="6"/>
      <x:c r="O8" s="6"/>
      <x:c r="P8" s="6"/>
      <x:c r="Q8" s="6"/>
    </x:row>
    <x:row r="9">
      <x:c r="A9" s="6"/>
      <x:c r="B9" s="6"/>
      <x:c r="C9" s="6"/>
      <x:c r="D9" s="6" t="s">
        <x:v>92</x:v>
      </x:c>
      <x:c r="E9" s="6" t="s">
        <x:v>154</x:v>
      </x:c>
      <x:c r="F9" s="6" t="str">
        <x:f>IF($B$5&gt;=10,"YES","NO")</x:f>
        <x:v>NO</x:v>
      </x:c>
      <x:c r="G9" s="21">
        <x:f t="shared" si="0"/>
        <x:v>1</x:v>
      </x:c>
      <x:c r="H9" s="6" t="str">
        <x:f>'02_Build'!C33</x:f>
        <x:v>MPPT2</x:v>
      </x:c>
      <x:c r="I9" s="6"/>
      <x:c r="J9" s="6"/>
      <x:c r="K9" s="6"/>
      <x:c r="L9" s="6"/>
      <x:c r="M9" s="6"/>
      <x:c r="N9" s="6"/>
      <x:c r="O9" s="6"/>
      <x:c r="P9" s="6"/>
      <x:c r="Q9" s="6"/>
    </x:row>
    <x:row r="10">
      <x:c r="A10" s="6"/>
      <x:c r="B10" s="6"/>
      <x:c r="C10" s="6"/>
      <x:c r="D10" s="6" t="s">
        <x:v>93</x:v>
      </x:c>
      <x:c r="E10" s="6" t="s">
        <x:v>155</x:v>
      </x:c>
      <x:c r="F10" s="6" t="str">
        <x:f>IF($B$5&gt;=12,"YES","NO")</x:f>
        <x:v>NO</x:v>
      </x:c>
      <x:c r="G10" s="21">
        <x:f t="shared" si="0"/>
        <x:v>1</x:v>
      </x:c>
      <x:c r="H10" s="6" t="str">
        <x:f>'02_Build'!C34</x:f>
        <x:v>MPPT1</x:v>
      </x:c>
      <x:c r="I10" s="6"/>
      <x:c r="J10" s="6"/>
      <x:c r="K10" s="6"/>
      <x:c r="L10" s="6"/>
      <x:c r="M10" s="6"/>
      <x:c r="N10" s="6"/>
      <x:c r="O10" s="6"/>
      <x:c r="P10" s="6"/>
      <x:c r="Q10" s="6"/>
    </x:row>
    <x:row r="11">
      <x:c r="A11" s="6"/>
      <x:c r="B11" s="6"/>
      <x:c r="C11" s="6"/>
      <x:c r="D11" s="6"/>
      <x:c r="E11" s="6"/>
      <x:c r="F11" s="6"/>
      <x:c r="G11" s="6"/>
      <x:c r="H11" s="6"/>
      <x:c r="I11" s="6"/>
      <x:c r="J11" s="6"/>
      <x:c r="K11" s="6"/>
      <x:c r="L11" s="6"/>
      <x:c r="M11" s="6"/>
      <x:c r="N11" s="6"/>
      <x:c r="O11" s="6"/>
      <x:c r="P11" s="6"/>
      <x:c r="Q11" s="6"/>
    </x:row>
    <x:row r="12" ht="15">
      <x:c r="A12" s="6"/>
      <x:c r="B12" s="6"/>
      <x:c r="C12" s="6"/>
      <x:c r="D12" s="12" t="s">
        <x:v>96</x:v>
      </x:c>
      <x:c r="E12" s="12" t="s">
        <x:v>156</x:v>
      </x:c>
      <x:c r="F12" s="12" t="s">
        <x:v>157</x:v>
      </x:c>
      <x:c r="G12" s="12" t="s">
        <x:v>158</x:v>
      </x:c>
      <x:c r="H12" s="12" t="s">
        <x:v>159</x:v>
      </x:c>
      <x:c r="I12" s="6"/>
      <x:c r="J12" s="6"/>
      <x:c r="K12" s="6"/>
      <x:c r="L12" s="6"/>
      <x:c r="M12" s="6"/>
      <x:c r="N12" s="6"/>
      <x:c r="O12" s="6"/>
      <x:c r="P12" s="6"/>
      <x:c r="Q12" s="6"/>
    </x:row>
    <x:row r="13" ht="28.5">
      <x:c r="A13" s="6"/>
      <x:c r="B13" s="6"/>
      <x:c r="C13" s="6"/>
      <x:c r="D13" s="6" t="s">
        <x:v>99</x:v>
      </x:c>
      <x:c r="E13" s="6" t="s">
        <x:v>88</x:v>
      </x:c>
      <x:c r="F13" s="6" t="s">
        <x:v>93</x:v>
      </x:c>
      <x:c r="G13" s="21" t="n">
        <x:f>AVERAGE(G5,G10)</x:f>
        <x:v>0.575</x:v>
      </x:c>
      <x:c r="H13" s="6" t="s">
        <x:v>160</x:v>
      </x:c>
      <x:c r="I13" s="6"/>
      <x:c r="J13" s="6"/>
      <x:c r="K13" s="6"/>
      <x:c r="L13" s="6"/>
      <x:c r="M13" s="6"/>
      <x:c r="N13" s="6"/>
      <x:c r="O13" s="6"/>
      <x:c r="P13" s="6"/>
      <x:c r="Q13" s="6"/>
    </x:row>
    <x:row r="14" ht="28.5">
      <x:c r="A14" s="6"/>
      <x:c r="B14" s="6"/>
      <x:c r="C14" s="6"/>
      <x:c r="D14" s="6" t="s">
        <x:v>102</x:v>
      </x:c>
      <x:c r="E14" s="6" t="s">
        <x:v>89</x:v>
      </x:c>
      <x:c r="F14" s="6" t="s">
        <x:v>92</x:v>
      </x:c>
      <x:c r="G14" s="21" t="n">
        <x:f>AVERAGE(G6,G9)</x:f>
        <x:v>1</x:v>
      </x:c>
      <x:c r="H14" s="6" t="s">
        <x:v>161</x:v>
      </x:c>
      <x:c r="I14" s="6"/>
      <x:c r="J14" s="6"/>
      <x:c r="K14" s="6"/>
      <x:c r="L14" s="6"/>
      <x:c r="M14" s="6"/>
      <x:c r="N14" s="6"/>
      <x:c r="O14" s="6"/>
      <x:c r="P14" s="6"/>
      <x:c r="Q14" s="6"/>
    </x:row>
    <x:row r="15">
      <x:c r="A15" s="6"/>
      <x:c r="B15" s="6"/>
      <x:c r="C15" s="6"/>
      <x:c r="D15" s="6" t="s">
        <x:v>105</x:v>
      </x:c>
      <x:c r="E15" s="6" t="s">
        <x:v>90</x:v>
      </x:c>
      <x:c r="F15" s="6" t="s">
        <x:v>91</x:v>
      </x:c>
      <x:c r="G15" s="21" t="n">
        <x:f>AVERAGE(G7,G8)</x:f>
        <x:v>1</x:v>
      </x:c>
      <x:c r="H15" s="6" t="s">
        <x:v>162</x:v>
      </x:c>
      <x:c r="I15" s="6"/>
      <x:c r="J15" s="6"/>
      <x:c r="K15" s="6"/>
      <x:c r="L15" s="6"/>
      <x:c r="M15" s="6"/>
      <x:c r="N15" s="6"/>
      <x:c r="O15" s="6"/>
      <x:c r="P15" s="6"/>
      <x:c r="Q15" s="6"/>
    </x:row>
    <x:row r="16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  <x:c r="L16" s="6"/>
      <x:c r="M16" s="6"/>
      <x:c r="N16" s="6"/>
      <x:c r="O16" s="6"/>
      <x:c r="P16" s="6"/>
      <x:c r="Q16" s="6"/>
    </x:row>
    <x:row r="17">
      <x:c r="A17" s="6"/>
      <x:c r="B17" s="6"/>
      <x:c r="C17" s="6"/>
      <x:c r="D17" s="6"/>
      <x:c r="E17" s="6"/>
      <x:c r="F17" s="6"/>
      <x:c r="G17" s="6"/>
      <x:c r="H17" s="6"/>
      <x:c r="I17" s="6"/>
      <x:c r="J17" s="6"/>
      <x:c r="K17" s="6"/>
      <x:c r="L17" s="6"/>
      <x:c r="M17" s="6"/>
      <x:c r="N17" s="6"/>
      <x:c r="O17" s="6"/>
      <x:c r="P17" s="6"/>
      <x:c r="Q17" s="6"/>
    </x:row>
    <x:row r="18" ht="99.75">
      <x:c r="A18" s="9" t="s">
        <x:v>163</x:v>
      </x:c>
      <x:c r="B18" s="6"/>
      <x:c r="C18" s="6"/>
      <x:c r="D18" s="6"/>
      <x:c r="E18" s="6"/>
      <x:c r="F18" s="6"/>
      <x:c r="G18" s="6"/>
      <x:c r="H18" s="6"/>
      <x:c r="I18" s="6"/>
      <x:c r="J18" s="6"/>
      <x:c r="K18" s="6"/>
      <x:c r="L18" s="6"/>
      <x:c r="M18" s="6"/>
      <x:c r="N18" s="6"/>
      <x:c r="O18" s="6"/>
      <x:c r="P18" s="6"/>
      <x:c r="Q18" s="6"/>
    </x:row>
    <x:row r="19">
      <x:c r="A19" s="6"/>
      <x:c r="B19" s="6"/>
      <x:c r="C19" s="6"/>
      <x:c r="D19" s="6"/>
      <x:c r="E19" s="6"/>
      <x:c r="F19" s="6"/>
      <x:c r="G19" s="6"/>
      <x:c r="H19" s="6"/>
      <x:c r="I19" s="6"/>
      <x:c r="J19" s="6"/>
      <x:c r="K19" s="6"/>
      <x:c r="L19" s="6"/>
      <x:c r="M19" s="6"/>
      <x:c r="N19" s="6"/>
      <x:c r="O19" s="6"/>
      <x:c r="P19" s="6"/>
      <x:c r="Q19" s="6"/>
    </x:row>
    <x:row r="20">
      <x:c r="A20" s="6"/>
      <x:c r="B20" s="6"/>
      <x:c r="C20" s="6"/>
      <x:c r="D20" s="6"/>
      <x:c r="E20" s="6"/>
      <x:c r="F20" s="6"/>
      <x:c r="G20" s="6"/>
      <x:c r="H20" s="6"/>
      <x:c r="I20" s="6"/>
      <x:c r="J20" s="6"/>
      <x:c r="K20" s="6"/>
      <x:c r="L20" s="6"/>
      <x:c r="M20" s="6"/>
      <x:c r="N20" s="6"/>
      <x:c r="O20" s="6"/>
      <x:c r="P20" s="6"/>
      <x:c r="Q20" s="6"/>
    </x:row>
    <x:row r="21">
      <x:c r="A21" s="6"/>
      <x:c r="B21" s="6"/>
      <x:c r="C21" s="6"/>
      <x:c r="D21" s="6"/>
      <x:c r="E21" s="6"/>
      <x:c r="F21" s="6"/>
      <x:c r="G21" s="6"/>
      <x:c r="H21" s="6"/>
      <x:c r="I21" s="6"/>
      <x:c r="J21" s="6"/>
      <x:c r="K21" s="6"/>
      <x:c r="L21" s="6"/>
      <x:c r="M21" s="6"/>
      <x:c r="N21" s="6"/>
      <x:c r="O21" s="6"/>
      <x:c r="P21" s="6"/>
      <x:c r="Q21" s="6"/>
    </x:row>
    <x:row r="22">
      <x:c r="A22" s="6"/>
      <x:c r="B22" s="6"/>
      <x:c r="C22" s="6"/>
      <x:c r="D22" s="6"/>
      <x:c r="E22" s="6"/>
      <x:c r="F22" s="6"/>
      <x:c r="G22" s="6"/>
      <x:c r="H22" s="6"/>
      <x:c r="I22" s="6"/>
      <x:c r="J22" s="6"/>
      <x:c r="K22" s="6"/>
      <x:c r="L22" s="6"/>
      <x:c r="M22" s="6"/>
      <x:c r="N22" s="6"/>
      <x:c r="O22" s="6"/>
      <x:c r="P22" s="6"/>
      <x:c r="Q22" s="6"/>
    </x:row>
    <x:row r="23">
      <x:c r="A23" s="6"/>
      <x:c r="B23" s="6"/>
      <x:c r="C23" s="6"/>
      <x:c r="D23" s="6"/>
      <x:c r="E23" s="6"/>
      <x:c r="F23" s="6"/>
      <x:c r="G23" s="6"/>
      <x:c r="H23" s="6"/>
      <x:c r="I23" s="6"/>
      <x:c r="J23" s="6"/>
      <x:c r="K23" s="6"/>
      <x:c r="L23" s="6"/>
      <x:c r="M23" s="6"/>
      <x:c r="N23" s="6"/>
      <x:c r="O23" s="6"/>
      <x:c r="P23" s="6"/>
      <x:c r="Q23" s="6"/>
    </x:row>
    <x:row r="24">
      <x:c r="A24" s="6"/>
      <x:c r="B24" s="6"/>
      <x:c r="C24" s="6"/>
      <x:c r="D24" s="6"/>
      <x:c r="E24" s="6"/>
      <x:c r="F24" s="6"/>
      <x:c r="G24" s="6"/>
      <x:c r="H24" s="6"/>
      <x:c r="I24" s="6"/>
      <x:c r="J24" s="6"/>
      <x:c r="K24" s="6"/>
      <x:c r="L24" s="6"/>
      <x:c r="M24" s="6"/>
      <x:c r="N24" s="6"/>
      <x:c r="O24" s="6"/>
      <x:c r="P24" s="6"/>
      <x:c r="Q24" s="6"/>
    </x:row>
    <x:row r="25">
      <x:c r="A25" s="6"/>
      <x:c r="B25" s="6"/>
      <x:c r="C25" s="6"/>
      <x:c r="D25" s="6"/>
      <x:c r="E25" s="6"/>
      <x:c r="F25" s="6"/>
      <x:c r="G25" s="6"/>
      <x:c r="H25" s="6"/>
      <x:c r="I25" s="6"/>
      <x:c r="J25" s="6"/>
      <x:c r="K25" s="6"/>
      <x:c r="L25" s="6"/>
      <x:c r="M25" s="6"/>
      <x:c r="N25" s="6"/>
      <x:c r="O25" s="6"/>
      <x:c r="P25" s="6"/>
      <x:c r="Q25" s="6"/>
    </x:row>
    <x:row r="26">
      <x:c r="A26" s="6"/>
      <x:c r="B26" s="6"/>
      <x:c r="C26" s="6"/>
      <x:c r="D26" s="6"/>
      <x:c r="E26" s="6"/>
      <x:c r="F26" s="6"/>
      <x:c r="G26" s="6"/>
      <x:c r="H26" s="6"/>
      <x:c r="I26" s="6"/>
      <x:c r="J26" s="6"/>
      <x:c r="K26" s="6"/>
      <x:c r="L26" s="6"/>
      <x:c r="M26" s="6"/>
      <x:c r="N26" s="6"/>
      <x:c r="O26" s="6"/>
      <x:c r="P26" s="6"/>
      <x:c r="Q26" s="6"/>
    </x:row>
    <x:row r="27">
      <x:c r="A27" s="6"/>
      <x:c r="B27" s="6"/>
      <x:c r="C27" s="6"/>
      <x:c r="D27" s="6"/>
      <x:c r="E27" s="6"/>
      <x:c r="F27" s="6"/>
      <x:c r="G27" s="6"/>
      <x:c r="H27" s="6"/>
      <x:c r="I27" s="6"/>
      <x:c r="J27" s="6"/>
      <x:c r="K27" s="6"/>
      <x:c r="L27" s="6"/>
      <x:c r="M27" s="6"/>
      <x:c r="N27" s="6"/>
      <x:c r="O27" s="6"/>
      <x:c r="P27" s="6"/>
      <x:c r="Q27" s="6"/>
    </x:row>
    <x:row r="28">
      <x:c r="A28" s="6"/>
      <x:c r="B28" s="6"/>
      <x:c r="C28" s="6"/>
      <x:c r="D28" s="6"/>
      <x:c r="E28" s="6"/>
      <x:c r="F28" s="6"/>
      <x:c r="G28" s="6"/>
      <x:c r="H28" s="6"/>
      <x:c r="I28" s="6"/>
      <x:c r="J28" s="6"/>
      <x:c r="K28" s="6"/>
      <x:c r="L28" s="6"/>
      <x:c r="M28" s="6"/>
      <x:c r="N28" s="6"/>
      <x:c r="O28" s="6"/>
      <x:c r="P28" s="6"/>
      <x:c r="Q28" s="6"/>
    </x:row>
    <x:row r="29">
      <x:c r="A29" s="6"/>
      <x:c r="B29" s="6"/>
      <x:c r="C29" s="6"/>
      <x:c r="D29" s="6"/>
      <x:c r="E29" s="6"/>
      <x:c r="F29" s="6"/>
      <x:c r="G29" s="6"/>
      <x:c r="H29" s="6"/>
      <x:c r="I29" s="6"/>
      <x:c r="J29" s="6"/>
      <x:c r="K29" s="6"/>
      <x:c r="L29" s="6"/>
      <x:c r="M29" s="6"/>
      <x:c r="N29" s="6"/>
      <x:c r="O29" s="6"/>
      <x:c r="P29" s="6"/>
      <x:c r="Q29" s="6"/>
    </x:row>
    <x:row r="30">
      <x:c r="A30" s="6"/>
      <x:c r="B30" s="6"/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/>
      <x:c r="N30" s="6"/>
      <x:c r="O30" s="6"/>
      <x:c r="P30" s="6"/>
      <x:c r="Q30" s="6"/>
    </x:row>
    <x:row r="31">
      <x:c r="A31" s="6"/>
      <x:c r="B31" s="6"/>
      <x:c r="C31" s="6"/>
      <x:c r="D31" s="6"/>
      <x:c r="E31" s="6"/>
      <x:c r="F31" s="6"/>
      <x:c r="G31" s="6"/>
      <x:c r="H31" s="6"/>
      <x:c r="I31" s="6"/>
      <x:c r="J31" s="6"/>
      <x:c r="K31" s="6"/>
      <x:c r="L31" s="6"/>
      <x:c r="M31" s="6"/>
      <x:c r="N31" s="6"/>
      <x:c r="O31" s="6"/>
      <x:c r="P31" s="6"/>
      <x:c r="Q31" s="6"/>
    </x:row>
    <x:row r="32">
      <x:c r="A32" s="6"/>
      <x:c r="B32" s="6"/>
      <x:c r="C32" s="6"/>
      <x:c r="D32" s="6"/>
      <x:c r="E32" s="6"/>
      <x:c r="F32" s="6"/>
      <x:c r="G32" s="6"/>
      <x:c r="H32" s="6"/>
      <x:c r="I32" s="6"/>
      <x:c r="J32" s="6"/>
      <x:c r="K32" s="6"/>
      <x:c r="L32" s="6"/>
      <x:c r="M32" s="6"/>
      <x:c r="N32" s="6"/>
      <x:c r="O32" s="6"/>
      <x:c r="P32" s="6"/>
      <x:c r="Q32" s="6"/>
    </x:row>
    <x:row r="33">
      <x:c r="A33" s="6"/>
      <x:c r="B33" s="6"/>
      <x:c r="C33" s="6"/>
      <x:c r="D33" s="6"/>
      <x:c r="E33" s="6"/>
      <x:c r="F33" s="6"/>
      <x:c r="G33" s="6"/>
      <x:c r="H33" s="6"/>
      <x:c r="I33" s="6"/>
      <x:c r="J33" s="6"/>
      <x:c r="K33" s="6"/>
      <x:c r="L33" s="6"/>
      <x:c r="M33" s="6"/>
      <x:c r="N33" s="6"/>
      <x:c r="O33" s="6"/>
      <x:c r="P33" s="6"/>
      <x:c r="Q33" s="6"/>
    </x:row>
    <x:row r="34">
      <x:c r="A34" s="6"/>
      <x:c r="B34" s="6"/>
      <x:c r="C34" s="6"/>
      <x:c r="D34" s="6"/>
      <x:c r="E34" s="6"/>
      <x:c r="F34" s="6"/>
      <x:c r="G34" s="6"/>
      <x:c r="H34" s="6"/>
      <x:c r="I34" s="6"/>
      <x:c r="J34" s="6"/>
      <x:c r="K34" s="6"/>
      <x:c r="L34" s="6"/>
      <x:c r="M34" s="6"/>
      <x:c r="N34" s="6"/>
      <x:c r="O34" s="6"/>
      <x:c r="P34" s="6"/>
      <x:c r="Q34" s="6"/>
    </x:row>
    <x:row r="35">
      <x:c r="A35" s="6"/>
      <x:c r="B35" s="6"/>
      <x:c r="C35" s="6"/>
      <x:c r="D35" s="6"/>
      <x:c r="E35" s="6"/>
      <x:c r="F35" s="6"/>
      <x:c r="G35" s="6"/>
      <x:c r="H35" s="6"/>
      <x:c r="I35" s="6"/>
      <x:c r="J35" s="6"/>
      <x:c r="K35" s="6"/>
      <x:c r="L35" s="6"/>
      <x:c r="M35" s="6"/>
      <x:c r="N35" s="6"/>
      <x:c r="O35" s="6"/>
      <x:c r="P35" s="6"/>
      <x:c r="Q35" s="6"/>
    </x:row>
    <x:row r="36">
      <x:c r="A36" s="6"/>
      <x:c r="B36" s="6"/>
      <x:c r="C36" s="6"/>
      <x:c r="D36" s="6"/>
      <x:c r="E36" s="6"/>
      <x:c r="F36" s="6"/>
      <x:c r="G36" s="6"/>
      <x:c r="H36" s="6"/>
      <x:c r="I36" s="6"/>
      <x:c r="J36" s="6"/>
      <x:c r="K36" s="6"/>
      <x:c r="L36" s="6"/>
      <x:c r="M36" s="6"/>
      <x:c r="N36" s="6"/>
      <x:c r="O36" s="6"/>
      <x:c r="P36" s="6"/>
      <x:c r="Q36" s="6"/>
    </x:row>
    <x:row r="37">
      <x:c r="A37" s="6"/>
      <x:c r="B37" s="6"/>
      <x:c r="C37" s="6"/>
      <x:c r="D37" s="6"/>
      <x:c r="E37" s="6"/>
      <x:c r="F37" s="6"/>
      <x:c r="G37" s="6"/>
      <x:c r="H37" s="6"/>
      <x:c r="I37" s="6"/>
      <x:c r="J37" s="6"/>
      <x:c r="K37" s="6"/>
      <x:c r="L37" s="6"/>
      <x:c r="M37" s="6"/>
      <x:c r="N37" s="6"/>
      <x:c r="O37" s="6"/>
      <x:c r="P37" s="6"/>
      <x:c r="Q37" s="6"/>
    </x:row>
    <x:row r="38">
      <x:c r="A38" s="6"/>
      <x:c r="B38" s="6"/>
      <x:c r="C38" s="6"/>
      <x:c r="D38" s="6"/>
      <x:c r="E38" s="6"/>
      <x:c r="F38" s="6"/>
      <x:c r="G38" s="6"/>
      <x:c r="H38" s="6"/>
      <x:c r="I38" s="6"/>
      <x:c r="J38" s="6"/>
      <x:c r="K38" s="6"/>
      <x:c r="L38" s="6"/>
      <x:c r="M38" s="6"/>
      <x:c r="N38" s="6"/>
      <x:c r="O38" s="6"/>
      <x:c r="P38" s="6"/>
      <x:c r="Q38" s="6"/>
    </x:row>
    <x:row r="39">
      <x:c r="A39" s="6"/>
      <x:c r="B39" s="6"/>
      <x:c r="C39" s="6"/>
      <x:c r="D39" s="6"/>
      <x:c r="E39" s="6"/>
      <x:c r="F39" s="6"/>
      <x:c r="G39" s="6"/>
      <x:c r="H39" s="6"/>
      <x:c r="I39" s="6"/>
      <x:c r="J39" s="6"/>
      <x:c r="K39" s="6"/>
      <x:c r="L39" s="6"/>
      <x:c r="M39" s="6"/>
      <x:c r="N39" s="6"/>
      <x:c r="O39" s="6"/>
      <x:c r="P39" s="6"/>
      <x:c r="Q39" s="6"/>
    </x:row>
    <x:row r="40">
      <x:c r="A40" s="6"/>
      <x:c r="B40" s="6"/>
      <x:c r="C40" s="6"/>
      <x:c r="D40" s="6"/>
      <x:c r="E40" s="6"/>
      <x:c r="F40" s="6"/>
      <x:c r="G40" s="6"/>
      <x:c r="H40" s="6"/>
      <x:c r="I40" s="6"/>
      <x:c r="J40" s="6"/>
      <x:c r="K40" s="6"/>
      <x:c r="L40" s="6"/>
      <x:c r="M40" s="6"/>
      <x:c r="N40" s="6"/>
      <x:c r="O40" s="6"/>
      <x:c r="P40" s="6"/>
      <x:c r="Q40" s="6"/>
    </x:row>
    <x:row r="41">
      <x:c r="A41" s="6"/>
      <x:c r="B41" s="6"/>
      <x:c r="C41" s="6"/>
      <x:c r="D41" s="6"/>
      <x:c r="E41" s="6"/>
      <x:c r="F41" s="6"/>
      <x:c r="G41" s="6"/>
      <x:c r="H41" s="6"/>
      <x:c r="I41" s="6"/>
      <x:c r="J41" s="6"/>
      <x:c r="K41" s="6"/>
      <x:c r="L41" s="6"/>
      <x:c r="M41" s="6"/>
      <x:c r="N41" s="6"/>
      <x:c r="O41" s="6"/>
      <x:c r="P41" s="6"/>
      <x:c r="Q41" s="6"/>
    </x:row>
    <x:row r="42">
      <x:c r="A42" s="6"/>
      <x:c r="B42" s="6"/>
      <x:c r="C42" s="6"/>
      <x:c r="D42" s="6"/>
      <x:c r="E42" s="6"/>
      <x:c r="F42" s="6"/>
      <x:c r="G42" s="6"/>
      <x:c r="H42" s="6"/>
      <x:c r="I42" s="6"/>
      <x:c r="J42" s="6"/>
      <x:c r="K42" s="6"/>
      <x:c r="L42" s="6"/>
      <x:c r="M42" s="6"/>
      <x:c r="N42" s="6"/>
      <x:c r="O42" s="6"/>
      <x:c r="P42" s="6"/>
      <x:c r="Q42" s="6"/>
    </x:row>
    <x:row r="43">
      <x:c r="A43" s="6"/>
      <x:c r="B43" s="6"/>
      <x:c r="C43" s="6"/>
      <x:c r="D43" s="6"/>
      <x:c r="E43" s="6"/>
      <x:c r="F43" s="6"/>
      <x:c r="G43" s="6"/>
      <x:c r="H43" s="6"/>
      <x:c r="I43" s="6"/>
      <x:c r="J43" s="6"/>
      <x:c r="K43" s="6"/>
      <x:c r="L43" s="6"/>
      <x:c r="M43" s="6"/>
      <x:c r="N43" s="6"/>
      <x:c r="O43" s="6"/>
      <x:c r="P43" s="6"/>
      <x:c r="Q43" s="6"/>
    </x:row>
    <x:row r="44">
      <x:c r="A44" s="6"/>
      <x:c r="B44" s="6"/>
      <x:c r="C44" s="6"/>
      <x:c r="D44" s="6"/>
      <x:c r="E44" s="6"/>
      <x:c r="F44" s="6"/>
      <x:c r="G44" s="6"/>
      <x:c r="H44" s="6"/>
      <x:c r="I44" s="6"/>
      <x:c r="J44" s="6"/>
      <x:c r="K44" s="6"/>
      <x:c r="L44" s="6"/>
      <x:c r="M44" s="6"/>
      <x:c r="N44" s="6"/>
      <x:c r="O44" s="6"/>
      <x:c r="P44" s="6"/>
      <x:c r="Q44" s="6"/>
    </x:row>
    <x:row r="45">
      <x:c r="A45" s="6"/>
      <x:c r="B45" s="6"/>
      <x:c r="C45" s="6"/>
      <x:c r="D45" s="6"/>
      <x:c r="E45" s="6"/>
      <x:c r="F45" s="6"/>
      <x:c r="G45" s="6"/>
      <x:c r="H45" s="6"/>
      <x:c r="I45" s="6"/>
      <x:c r="J45" s="6"/>
      <x:c r="K45" s="6"/>
      <x:c r="L45" s="6"/>
      <x:c r="M45" s="6"/>
      <x:c r="N45" s="6"/>
      <x:c r="O45" s="6"/>
      <x:c r="P45" s="6"/>
      <x:c r="Q45" s="6"/>
    </x:row>
    <x:row r="46">
      <x:c r="A46" s="6"/>
      <x:c r="B46" s="6"/>
      <x:c r="C46" s="6"/>
      <x:c r="D46" s="6"/>
      <x:c r="E46" s="6"/>
      <x:c r="F46" s="6"/>
      <x:c r="G46" s="6"/>
      <x:c r="H46" s="6"/>
      <x:c r="I46" s="6"/>
      <x:c r="J46" s="6"/>
      <x:c r="K46" s="6"/>
      <x:c r="L46" s="6"/>
      <x:c r="M46" s="6"/>
      <x:c r="N46" s="6"/>
      <x:c r="O46" s="6"/>
      <x:c r="P46" s="6"/>
      <x:c r="Q46" s="6"/>
    </x:row>
    <x:row r="47">
      <x:c r="A47" s="6"/>
      <x:c r="B47" s="6"/>
      <x:c r="C47" s="6"/>
      <x:c r="D47" s="6"/>
      <x:c r="E47" s="6"/>
      <x:c r="F47" s="6"/>
      <x:c r="G47" s="6"/>
      <x:c r="H47" s="6"/>
      <x:c r="I47" s="6"/>
      <x:c r="J47" s="6"/>
      <x:c r="K47" s="6"/>
      <x:c r="L47" s="6"/>
      <x:c r="M47" s="6"/>
      <x:c r="N47" s="6"/>
      <x:c r="O47" s="6"/>
      <x:c r="P47" s="6"/>
      <x:c r="Q47" s="6"/>
    </x:row>
    <x:row r="48">
      <x:c r="A48" s="6"/>
      <x:c r="B48" s="6"/>
      <x:c r="C48" s="6"/>
      <x:c r="D48" s="6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</x:row>
    <x:row r="49">
      <x:c r="A49" s="6"/>
      <x:c r="B49" s="6"/>
      <x:c r="C49" s="6"/>
      <x:c r="D49" s="6"/>
      <x:c r="E49" s="6"/>
      <x:c r="F49" s="6"/>
      <x:c r="G49" s="6"/>
      <x:c r="H49" s="6"/>
      <x:c r="I49" s="6"/>
      <x:c r="J49" s="6"/>
      <x:c r="K49" s="6"/>
      <x:c r="L49" s="6"/>
      <x:c r="M49" s="6"/>
      <x:c r="N49" s="6"/>
      <x:c r="O49" s="6"/>
      <x:c r="P49" s="6"/>
      <x:c r="Q49" s="6"/>
    </x:row>
    <x:row r="50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</x:row>
    <x:row r="51">
      <x:c r="A51" s="6"/>
      <x:c r="B51" s="6"/>
      <x:c r="C51" s="6"/>
      <x:c r="D51" s="6"/>
      <x:c r="E51" s="6"/>
      <x:c r="F51" s="6"/>
      <x:c r="G51" s="6"/>
      <x:c r="H51" s="6"/>
      <x:c r="I51" s="6"/>
      <x:c r="J51" s="6"/>
      <x:c r="K51" s="6"/>
      <x:c r="L51" s="6"/>
      <x:c r="M51" s="6"/>
      <x:c r="N51" s="6"/>
      <x:c r="O51" s="6"/>
      <x:c r="P51" s="6"/>
      <x:c r="Q51" s="6"/>
    </x:row>
    <x:row r="52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</x:row>
    <x:row r="53">
      <x:c r="A53" s="6"/>
      <x:c r="B53" s="6"/>
      <x:c r="C53" s="6"/>
      <x:c r="D53" s="6"/>
      <x:c r="E53" s="6"/>
      <x:c r="F53" s="6"/>
      <x:c r="G53" s="6"/>
      <x:c r="H53" s="6"/>
      <x:c r="I53" s="6"/>
      <x:c r="J53" s="6"/>
      <x:c r="K53" s="6"/>
      <x:c r="L53" s="6"/>
      <x:c r="M53" s="6"/>
      <x:c r="N53" s="6"/>
      <x:c r="O53" s="6"/>
      <x:c r="P53" s="6"/>
      <x:c r="Q53" s="6"/>
    </x:row>
    <x:row r="54">
      <x:c r="A54" s="6"/>
      <x:c r="B54" s="6"/>
      <x:c r="C54" s="6"/>
      <x:c r="D54" s="6"/>
      <x:c r="E54" s="6"/>
      <x:c r="F54" s="6"/>
      <x:c r="G54" s="6"/>
      <x:c r="H54" s="6"/>
      <x:c r="I54" s="6"/>
      <x:c r="J54" s="6"/>
      <x:c r="K54" s="6"/>
      <x:c r="L54" s="6"/>
      <x:c r="M54" s="6"/>
      <x:c r="N54" s="6"/>
      <x:c r="O54" s="6"/>
      <x:c r="P54" s="6"/>
      <x:c r="Q54" s="6"/>
    </x:row>
    <x:row r="55">
      <x:c r="A55" s="6"/>
      <x:c r="B55" s="6"/>
      <x:c r="C55" s="6"/>
      <x:c r="D55" s="6"/>
      <x:c r="E55" s="6"/>
      <x:c r="F55" s="6"/>
      <x:c r="G55" s="6"/>
      <x:c r="H55" s="6"/>
      <x:c r="I55" s="6"/>
      <x:c r="J55" s="6"/>
      <x:c r="K55" s="6"/>
      <x:c r="L55" s="6"/>
      <x:c r="M55" s="6"/>
      <x:c r="N55" s="6"/>
      <x:c r="O55" s="6"/>
      <x:c r="P55" s="6"/>
      <x:c r="Q55" s="6"/>
    </x:row>
    <x:row r="56">
      <x:c r="A56" s="6"/>
      <x:c r="B56" s="6"/>
      <x:c r="C56" s="6"/>
      <x:c r="D56" s="6"/>
      <x:c r="E56" s="6"/>
      <x:c r="F56" s="6"/>
      <x:c r="G56" s="6"/>
      <x:c r="H56" s="6"/>
      <x:c r="I56" s="6"/>
      <x:c r="J56" s="6"/>
      <x:c r="K56" s="6"/>
      <x:c r="L56" s="6"/>
      <x:c r="M56" s="6"/>
      <x:c r="N56" s="6"/>
      <x:c r="O56" s="6"/>
      <x:c r="P56" s="6"/>
      <x:c r="Q56" s="6"/>
    </x:row>
    <x:row r="57">
      <x:c r="A57" s="6"/>
      <x:c r="B57" s="6"/>
      <x:c r="C57" s="6"/>
      <x:c r="D57" s="6"/>
      <x:c r="E57" s="6"/>
      <x:c r="F57" s="6"/>
      <x:c r="G57" s="6"/>
      <x:c r="H57" s="6"/>
      <x:c r="I57" s="6"/>
      <x:c r="J57" s="6"/>
      <x:c r="K57" s="6"/>
      <x:c r="L57" s="6"/>
      <x:c r="M57" s="6"/>
      <x:c r="N57" s="6"/>
      <x:c r="O57" s="6"/>
      <x:c r="P57" s="6"/>
      <x:c r="Q57" s="6"/>
    </x:row>
    <x:row r="58">
      <x:c r="A58" s="6"/>
      <x:c r="B58" s="6"/>
      <x:c r="C58" s="6"/>
      <x:c r="D58" s="6"/>
      <x:c r="E58" s="6"/>
      <x:c r="F58" s="6"/>
      <x:c r="G58" s="6"/>
      <x:c r="H58" s="6"/>
      <x:c r="I58" s="6"/>
      <x:c r="J58" s="6"/>
      <x:c r="K58" s="6"/>
      <x:c r="L58" s="6"/>
      <x:c r="M58" s="6"/>
      <x:c r="N58" s="6"/>
      <x:c r="O58" s="6"/>
      <x:c r="P58" s="6"/>
      <x:c r="Q58" s="6"/>
    </x:row>
    <x:row r="59">
      <x:c r="A59" s="6"/>
      <x:c r="B59" s="6"/>
      <x:c r="C59" s="6"/>
      <x:c r="D59" s="6"/>
      <x:c r="E59" s="6"/>
      <x:c r="F59" s="6"/>
      <x:c r="G59" s="6"/>
      <x:c r="H59" s="6"/>
      <x:c r="I59" s="6"/>
      <x:c r="J59" s="6"/>
      <x:c r="K59" s="6"/>
      <x:c r="L59" s="6"/>
      <x:c r="M59" s="6"/>
      <x:c r="N59" s="6"/>
      <x:c r="O59" s="6"/>
      <x:c r="P59" s="6"/>
      <x:c r="Q59" s="6"/>
    </x:row>
    <x:row r="60">
      <x:c r="A60" s="6"/>
      <x:c r="B60" s="6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  <x:c r="O60" s="6"/>
      <x:c r="P60" s="6"/>
      <x:c r="Q60" s="6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4.25"/>
  <x:cols>
    <x:col min="1" max="1" width="25" customWidth="1"/>
    <x:col min="2" max="2" width="30" customWidth="1"/>
    <x:col min="3" max="3" width="25" style="38" customWidth="1"/>
    <x:col min="4" max="4" width="43.125" customWidth="1"/>
  </x:cols>
  <x:sheetData>
    <x:row r="1" ht="53.25" customHeight="1">
      <x:c r="A1" s="10" t="s">
        <x:v>164</x:v>
      </x:c>
      <x:c r="B1" s="2"/>
      <x:c r="C1" s="36"/>
      <x:c r="D1" s="6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>
      <x:c r="A2" s="2"/>
      <x:c r="B2" s="2"/>
      <x:c r="C2" s="36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 ht="15">
      <x:c r="A3" s="4" t="s">
        <x:v>165</x:v>
      </x:c>
      <x:c r="B3" s="4" t="s">
        <x:v>28</x:v>
      </x:c>
      <x:c r="C3" s="37" t="s">
        <x:v>31</x:v>
      </x:c>
      <x:c r="D3" s="4" t="s">
        <x:v>124</x:v>
      </x:c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 ht="15">
      <x:c r="A4" s="5" t="s">
        <x:v>4</x:v>
      </x:c>
      <x:c r="B4" s="2" t="s">
        <x:v>166</x:v>
      </x:c>
      <x:c r="C4" s="36" t="str">
        <x:f>'02_Build'!J4</x:f>
        <x:v>PASS</x:v>
      </x:c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 ht="15">
      <x:c r="A5" s="5" t="s">
        <x:v>4</x:v>
      </x:c>
      <x:c r="B5" s="2" t="s">
        <x:v>167</x:v>
      </x:c>
      <x:c r="C5" s="36" t="str">
        <x:f>'02_Build'!J5</x:f>
        <x:v>PASS</x:v>
      </x:c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 ht="15">
      <x:c r="A6" s="5" t="s">
        <x:v>4</x:v>
      </x:c>
      <x:c r="B6" s="2" t="s">
        <x:v>168</x:v>
      </x:c>
      <x:c r="C6" s="36" t="str">
        <x:f>'02_Build'!J6</x:f>
        <x:v>PASS</x:v>
      </x:c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</x:row>
    <x:row r="7" ht="15">
      <x:c r="A7" s="5" t="s">
        <x:v>4</x:v>
      </x:c>
      <x:c r="B7" s="2" t="s">
        <x:v>169</x:v>
      </x:c>
      <x:c r="C7" s="36" t="str">
        <x:f>'02_Build'!J7</x:f>
        <x:v>PASS</x:v>
      </x:c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</x:row>
    <x:row r="8" ht="15">
      <x:c r="A8" s="5" t="s">
        <x:v>6</x:v>
      </x:c>
      <x:c r="B8" s="2" t="s">
        <x:v>170</x:v>
      </x:c>
      <x:c r="C8" s="36" t="s">
        <x:v>171</x:v>
      </x:c>
      <x:c r="D8" s="2" t="s">
        <x:v>172</x:v>
      </x:c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</x:row>
    <x:row r="9" ht="15">
      <x:c r="A9" s="5" t="s">
        <x:v>6</x:v>
      </x:c>
      <x:c r="B9" s="2" t="s">
        <x:v>173</x:v>
      </x:c>
      <x:c r="C9" s="36" t="s">
        <x:v>174</x:v>
      </x:c>
      <x:c r="D9" s="2" t="s">
        <x:v>175</x:v>
      </x:c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</x:row>
    <x:row r="10" ht="15">
      <x:c r="A10" s="5" t="s">
        <x:v>11</x:v>
      </x:c>
      <x:c r="B10" s="2" t="s">
        <x:v>176</x:v>
      </x:c>
      <x:c r="C10" s="36" t="s">
        <x:v>174</x:v>
      </x:c>
      <x:c r="D10" s="2" t="s">
        <x:v>177</x:v>
      </x:c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</x:row>
    <x:row r="11" ht="15">
      <x:c r="A11" s="5" t="s">
        <x:v>15</x:v>
      </x:c>
      <x:c r="B11" s="2" t="s">
        <x:v>178</x:v>
      </x:c>
      <x:c r="C11" s="36" t="s">
        <x:v>174</x:v>
      </x:c>
      <x:c r="D11" s="2" t="s">
        <x:v>179</x:v>
      </x:c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</x:row>
    <x:row r="12" ht="15">
      <x:c r="A12" s="5" t="s">
        <x:v>180</x:v>
      </x:c>
      <x:c r="B12" s="2" t="s">
        <x:v>181</x:v>
      </x:c>
      <x:c r="C12" s="36" t="s">
        <x:v>174</x:v>
      </x:c>
      <x:c r="D12" s="2" t="s">
        <x:v>182</x:v>
      </x:c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</x:row>
    <x:row r="13">
      <x:c r="A13" s="2"/>
      <x:c r="B13" s="2"/>
      <x:c r="C13" s="36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</x:row>
    <x:row r="14">
      <x:c r="A14" s="2"/>
      <x:c r="B14" s="2"/>
      <x:c r="C14" s="36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</x:row>
    <x:row r="15">
      <x:c r="A15" s="2"/>
      <x:c r="B15" s="2"/>
      <x:c r="C15" s="36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</x:row>
    <x:row r="16">
      <x:c r="A16" s="2"/>
      <x:c r="B16" s="2"/>
      <x:c r="C16" s="36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</x:row>
    <x:row r="17">
      <x:c r="A17" s="2"/>
      <x:c r="B17" s="2"/>
      <x:c r="C17" s="36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</x:row>
    <x:row r="18">
      <x:c r="A18" s="2"/>
      <x:c r="B18" s="2"/>
      <x:c r="C18" s="36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</x:row>
    <x:row r="19">
      <x:c r="A19" s="2"/>
      <x:c r="B19" s="2"/>
      <x:c r="C19" s="36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</x:row>
    <x:row r="20">
      <x:c r="A20" s="2"/>
      <x:c r="B20" s="2"/>
      <x:c r="C20" s="36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</x:row>
    <x:row r="21">
      <x:c r="A21" s="2"/>
      <x:c r="B21" s="2"/>
      <x:c r="C21" s="36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</x:row>
    <x:row r="22">
      <x:c r="A22" s="2"/>
      <x:c r="B22" s="2"/>
      <x:c r="C22" s="36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</x:row>
    <x:row r="23">
      <x:c r="A23" s="2"/>
      <x:c r="B23" s="2"/>
      <x:c r="C23" s="36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</x:row>
    <x:row r="24">
      <x:c r="A24" s="2"/>
      <x:c r="B24" s="2"/>
      <x:c r="C24" s="36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</x:row>
    <x:row r="25">
      <x:c r="A25" s="2"/>
      <x:c r="B25" s="2"/>
      <x:c r="C25" s="36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</x:row>
    <x:row r="26">
      <x:c r="A26" s="2"/>
      <x:c r="B26" s="2"/>
      <x:c r="C26" s="36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</x:row>
    <x:row r="27">
      <x:c r="A27" s="2"/>
      <x:c r="B27" s="2"/>
      <x:c r="C27" s="36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</x:row>
    <x:row r="28">
      <x:c r="A28" s="2"/>
      <x:c r="B28" s="2"/>
      <x:c r="C28" s="36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</x:row>
    <x:row r="29">
      <x:c r="A29" s="2"/>
      <x:c r="B29" s="2"/>
      <x:c r="C29" s="36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</x:row>
    <x:row r="30">
      <x:c r="A30" s="2"/>
      <x:c r="B30" s="2"/>
      <x:c r="C30" s="36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</x:row>
    <x:row r="31">
      <x:c r="A31" s="2"/>
      <x:c r="B31" s="2"/>
      <x:c r="C31" s="36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</x:row>
    <x:row r="32">
      <x:c r="A32" s="2"/>
      <x:c r="B32" s="2"/>
      <x:c r="C32" s="36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</x:row>
    <x:row r="33">
      <x:c r="A33" s="2"/>
      <x:c r="B33" s="2"/>
      <x:c r="C33" s="36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</x:row>
    <x:row r="34">
      <x:c r="A34" s="2"/>
      <x:c r="B34" s="2"/>
      <x:c r="C34" s="36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</x:row>
    <x:row r="35">
      <x:c r="A35" s="2"/>
      <x:c r="B35" s="2"/>
      <x:c r="C35" s="36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</x:row>
    <x:row r="36">
      <x:c r="A36" s="2"/>
      <x:c r="B36" s="2"/>
      <x:c r="C36" s="36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</x:row>
    <x:row r="37">
      <x:c r="A37" s="2"/>
      <x:c r="B37" s="2"/>
      <x:c r="C37" s="36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</x:row>
    <x:row r="38">
      <x:c r="A38" s="2"/>
      <x:c r="B38" s="2"/>
      <x:c r="C38" s="36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</x:row>
    <x:row r="39">
      <x:c r="A39" s="2"/>
      <x:c r="B39" s="2"/>
      <x:c r="C39" s="36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</x:row>
    <x:row r="40">
      <x:c r="A40" s="2"/>
      <x:c r="B40" s="2"/>
      <x:c r="C40" s="36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</x:row>
    <x:row r="41">
      <x:c r="A41" s="2"/>
      <x:c r="B41" s="2"/>
      <x:c r="C41" s="36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</x:row>
    <x:row r="42">
      <x:c r="A42" s="2"/>
      <x:c r="B42" s="2"/>
      <x:c r="C42" s="36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</x:row>
    <x:row r="43">
      <x:c r="A43" s="2"/>
      <x:c r="B43" s="2"/>
      <x:c r="C43" s="36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</x:row>
    <x:row r="44">
      <x:c r="A44" s="2"/>
      <x:c r="B44" s="2"/>
      <x:c r="C44" s="36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</x:row>
    <x:row r="45">
      <x:c r="A45" s="2"/>
      <x:c r="B45" s="2"/>
      <x:c r="C45" s="36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</x:row>
    <x:row r="46">
      <x:c r="A46" s="2"/>
      <x:c r="B46" s="2"/>
      <x:c r="C46" s="36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</x:row>
    <x:row r="47">
      <x:c r="A47" s="2"/>
      <x:c r="B47" s="2"/>
      <x:c r="C47" s="36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</x:row>
    <x:row r="48">
      <x:c r="A48" s="2"/>
      <x:c r="B48" s="2"/>
      <x:c r="C48" s="36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</x:row>
    <x:row r="49">
      <x:c r="A49" s="2"/>
      <x:c r="B49" s="2"/>
      <x:c r="C49" s="36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</x:row>
    <x:row r="50">
      <x:c r="A50" s="2"/>
      <x:c r="B50" s="2"/>
      <x:c r="C50" s="36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</x:row>
    <x:row r="51">
      <x:c r="A51" s="2"/>
      <x:c r="B51" s="2"/>
      <x:c r="C51" s="36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</x:row>
    <x:row r="52">
      <x:c r="A52" s="2"/>
      <x:c r="B52" s="2"/>
      <x:c r="C52" s="36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</x:row>
    <x:row r="53">
      <x:c r="A53" s="2"/>
      <x:c r="B53" s="2"/>
      <x:c r="C53" s="36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</x:row>
    <x:row r="54">
      <x:c r="A54" s="2"/>
      <x:c r="B54" s="2"/>
      <x:c r="C54" s="36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</x:row>
    <x:row r="55">
      <x:c r="A55" s="2"/>
      <x:c r="B55" s="2"/>
      <x:c r="C55" s="36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</x:row>
    <x:row r="56">
      <x:c r="A56" s="2"/>
      <x:c r="B56" s="2"/>
      <x:c r="C56" s="36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</x:row>
    <x:row r="57">
      <x:c r="A57" s="2"/>
      <x:c r="B57" s="2"/>
      <x:c r="C57" s="36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</x:row>
    <x:row r="58">
      <x:c r="A58" s="2"/>
      <x:c r="B58" s="2"/>
      <x:c r="C58" s="36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</x:row>
    <x:row r="59">
      <x:c r="A59" s="2"/>
      <x:c r="B59" s="2"/>
      <x:c r="C59" s="36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</x:row>
    <x:row r="60">
      <x:c r="A60" s="2"/>
      <x:c r="B60" s="2"/>
      <x:c r="C60" s="36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4.25"/>
  <x:cols>
    <x:col min="1" max="15" width="16" customWidth="1"/>
    <x:col min="16" max="16" width="42" customWidth="1"/>
  </x:cols>
  <x:sheetData>
    <x:row r="1" ht="15">
      <x:c r="A1" s="3" t="s">
        <x:v>183</x:v>
      </x:c>
      <x:c r="B1" s="3" t="s">
        <x:v>184</x:v>
      </x:c>
      <x:c r="C1" s="3" t="s">
        <x:v>185</x:v>
      </x:c>
      <x:c r="D1" s="3" t="s">
        <x:v>186</x:v>
      </x:c>
      <x:c r="E1" s="3" t="s">
        <x:v>187</x:v>
      </x:c>
      <x:c r="F1" s="3" t="s">
        <x:v>188</x:v>
      </x:c>
      <x:c r="G1" s="3" t="s">
        <x:v>189</x:v>
      </x:c>
      <x:c r="H1" s="3" t="s">
        <x:v>52</x:v>
      </x:c>
      <x:c r="I1" s="3" t="s">
        <x:v>190</x:v>
      </x:c>
      <x:c r="J1" s="3" t="s">
        <x:v>191</x:v>
      </x:c>
      <x:c r="K1" s="3" t="s">
        <x:v>192</x:v>
      </x:c>
      <x:c r="L1" s="3" t="s">
        <x:v>193</x:v>
      </x:c>
      <x:c r="M1" s="3" t="s">
        <x:v>194</x:v>
      </x:c>
      <x:c r="N1" s="3" t="s">
        <x:v>195</x:v>
      </x:c>
      <x:c r="O1" s="3" t="s">
        <x:v>196</x:v>
      </x:c>
      <x:c r="P1" s="3" t="s">
        <x:v>197</x:v>
      </x:c>
      <x:c r="Q1" s="2"/>
    </x:row>
    <x:row r="2">
      <x:c r="A2" s="2" t="s">
        <x:v>198</x:v>
      </x:c>
      <x:c r="B2" s="2" t="s">
        <x:v>37</x:v>
      </x:c>
      <x:c r="C2" s="2">
        <x:v>460</x:v>
      </x:c>
      <x:c r="D2" s="2">
        <x:v>65.7</x:v>
      </x:c>
      <x:c r="E2" s="2">
        <x:v>54.9</x:v>
      </x:c>
      <x:c r="F2" s="2">
        <x:v>8.8800000000000008</x:v>
      </x:c>
      <x:c r="G2" s="2">
        <x:v>8.3800000000000008</x:v>
      </x:c>
      <x:c r="H2" s="2">
        <x:v>-0.24</x:v>
      </x:c>
      <x:c r="I2" s="2">
        <x:v>-0.24</x:v>
      </x:c>
      <x:c r="J2" s="2">
        <x:v>1728</x:v>
      </x:c>
      <x:c r="K2" s="2">
        <x:v>1205</x:v>
      </x:c>
      <x:c r="L2" s="2">
        <x:v>47.4</x:v>
      </x:c>
      <x:c r="M2" s="2">
        <x:v>25</x:v>
      </x:c>
      <x:c r="N2" s="2">
        <x:v>1000</x:v>
      </x:c>
      <x:c r="O2" s="2">
        <x:v>315</x:v>
      </x:c>
      <x:c r="P2" s="2" t="s">
        <x:v>199</x:v>
      </x:c>
      <x:c r="Q2" s="2"/>
    </x:row>
    <x:row r="3">
      <x:c r="A3" s="2" t="s">
        <x:v>200</x:v>
      </x:c>
      <x:c r="B3" s="2" t="s">
        <x:v>201</x:v>
      </x:c>
      <x:c r="C3" s="2">
        <x:v>430</x:v>
      </x:c>
      <x:c r="D3" s="2">
        <x:v>45.54</x:v>
      </x:c>
      <x:c r="E3" s="2">
        <x:v>38.39</x:v>
      </x:c>
      <x:c r="F3" s="2">
        <x:v>11.35</x:v>
      </x:c>
      <x:c r="G3" s="2">
        <x:v>11.2</x:v>
      </x:c>
      <x:c r="H3" s="2">
        <x:v>-0.24</x:v>
      </x:c>
      <x:c r="I3" s="2">
        <x:v>-0.28999999999999998</x:v>
      </x:c>
      <x:c r="J3" s="2">
        <x:v>1722</x:v>
      </x:c>
      <x:c r="K3" s="2">
        <x:v>1134</x:v>
      </x:c>
      <x:c r="L3" s="2">
        <x:v>48.5</x:v>
      </x:c>
      <x:c r="M3" s="2">
        <x:v>25</x:v>
      </x:c>
      <x:c r="N3" s="2">
        <x:v>1000</x:v>
      </x:c>
      <x:c r="O3" s="2">
        <x:v>240</x:v>
      </x:c>
      <x:c r="P3" s="2" t="s">
        <x:v>202</x:v>
      </x:c>
      <x:c r="Q3" s="2"/>
    </x:row>
    <x:row r="4">
      <x:c r="A4" s="2" t="s">
        <x:v>203</x:v>
      </x:c>
      <x:c r="B4" s="2" t="s">
        <x:v>204</x:v>
      </x:c>
      <x:c r="C4" s="2">
        <x:v>455</x:v>
      </x:c>
      <x:c r="D4" s="2">
        <x:v>49.3</x:v>
      </x:c>
      <x:c r="E4" s="2">
        <x:v>41.5</x:v>
      </x:c>
      <x:c r="F4" s="2">
        <x:v>11.74</x:v>
      </x:c>
      <x:c r="G4" s="2">
        <x:v>10.97</x:v>
      </x:c>
      <x:c r="H4" s="2">
        <x:v>-0.26</x:v>
      </x:c>
      <x:c r="I4" s="2">
        <x:v>-0.34</x:v>
      </x:c>
      <x:c r="J4" s="2">
        <x:v>1903</x:v>
      </x:c>
      <x:c r="K4" s="2">
        <x:v>1134</x:v>
      </x:c>
      <x:c r="L4" s="2">
        <x:v>54</x:v>
      </x:c>
      <x:c r="M4" s="2">
        <x:v>25</x:v>
      </x:c>
      <x:c r="N4" s="2">
        <x:v>1500</x:v>
      </x:c>
      <x:c r="O4" s="2">
        <x:v>220</x:v>
      </x:c>
      <x:c r="P4" s="2" t="s">
        <x:v>202</x:v>
      </x:c>
      <x:c r="Q4" s="2"/>
    </x:row>
    <x:row r="5">
      <x:c r="A5" s="2" t="s">
        <x:v>205</x:v>
      </x:c>
      <x:c r="B5" s="2" t="s">
        <x:v>206</x:v>
      </x:c>
      <x:c r="C5" s="2">
        <x:v>460</x:v>
      </x:c>
      <x:c r="D5" s="2">
        <x:v>46.7</x:v>
      </x:c>
      <x:c r="E5" s="2">
        <x:v>38.5</x:v>
      </x:c>
      <x:c r="F5" s="2">
        <x:v>12.7</x:v>
      </x:c>
      <x:c r="G5" s="2">
        <x:v>11.95</x:v>
      </x:c>
      <x:c r="H5" s="2">
        <x:v>-0.27</x:v>
      </x:c>
      <x:c r="I5" s="2">
        <x:v>-0.35</x:v>
      </x:c>
      <x:c r="J5" s="2">
        <x:v>1909</x:v>
      </x:c>
      <x:c r="K5" s="2">
        <x:v>1134</x:v>
      </x:c>
      <x:c r="L5" s="2">
        <x:v>54</x:v>
      </x:c>
      <x:c r="M5" s="2">
        <x:v>25</x:v>
      </x:c>
      <x:c r="N5" s="2">
        <x:v>1000</x:v>
      </x:c>
      <x:c r="O5" s="2">
        <x:v>280</x:v>
      </x:c>
      <x:c r="P5" s="2" t="s">
        <x:v>207</x:v>
      </x:c>
      <x:c r="Q5" s="2"/>
    </x:row>
    <x:row r="6">
      <x:c r="A6" s="2" t="s">
        <x:v>208</x:v>
      </x:c>
      <x:c r="B6" s="2" t="s">
        <x:v>209</x:v>
      </x:c>
      <x:c r="C6" s="2">
        <x:v>455</x:v>
      </x:c>
      <x:c r="D6" s="2">
        <x:v>51.6</x:v>
      </x:c>
      <x:c r="E6" s="2">
        <x:v>43.2</x:v>
      </x:c>
      <x:c r="F6" s="2">
        <x:v>11.2</x:v>
      </x:c>
      <x:c r="G6" s="2">
        <x:v>10.54</x:v>
      </x:c>
      <x:c r="H6" s="2">
        <x:v>-0.24</x:v>
      </x:c>
      <x:c r="I6" s="2">
        <x:v>-0.3</x:v>
      </x:c>
      <x:c r="J6" s="2">
        <x:v>1762</x:v>
      </x:c>
      <x:c r="K6" s="2">
        <x:v>1134</x:v>
      </x:c>
      <x:c r="L6" s="2">
        <x:v>47</x:v>
      </x:c>
      <x:c r="M6" s="2">
        <x:v>25</x:v>
      </x:c>
      <x:c r="N6" s="2">
        <x:v>1500</x:v>
      </x:c>
      <x:c r="O6" s="2">
        <x:v>210</x:v>
      </x:c>
      <x:c r="P6" s="2" t="s">
        <x:v>207</x:v>
      </x:c>
      <x:c r="Q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4.25"/>
  <x:cols>
    <x:col min="1" max="12" width="17" customWidth="1"/>
    <x:col min="13" max="13" width="42" customWidth="1"/>
  </x:cols>
  <x:sheetData>
    <x:row r="1" ht="15">
      <x:c r="A1" s="3" t="s">
        <x:v>183</x:v>
      </x:c>
      <x:c r="B1" s="3" t="s">
        <x:v>184</x:v>
      </x:c>
      <x:c r="C1" s="3" t="s">
        <x:v>210</x:v>
      </x:c>
      <x:c r="D1" s="3" t="s">
        <x:v>211</x:v>
      </x:c>
      <x:c r="E1" s="3" t="s">
        <x:v>212</x:v>
      </x:c>
      <x:c r="F1" s="3" t="s">
        <x:v>213</x:v>
      </x:c>
      <x:c r="G1" s="3" t="s">
        <x:v>214</x:v>
      </x:c>
      <x:c r="H1" s="3" t="s">
        <x:v>49</x:v>
      </x:c>
      <x:c r="I1" s="3" t="s">
        <x:v>78</x:v>
      </x:c>
      <x:c r="J1" s="3" t="s">
        <x:v>215</x:v>
      </x:c>
      <x:c r="K1" s="3" t="s">
        <x:v>216</x:v>
      </x:c>
      <x:c r="L1" s="3" t="s">
        <x:v>217</x:v>
      </x:c>
      <x:c r="M1" s="3" t="s">
        <x:v>124</x:v>
      </x:c>
      <x:c r="N1" s="2"/>
      <x:c r="O1" s="2"/>
      <x:c r="P1" s="2"/>
      <x:c r="Q1" s="2"/>
    </x:row>
    <x:row r="2">
      <x:c r="A2" s="2" t="s">
        <x:v>218</x:v>
      </x:c>
      <x:c r="B2" s="2" t="s">
        <x:v>40</x:v>
      </x:c>
      <x:c r="C2" s="2">
        <x:v>150</x:v>
      </x:c>
      <x:c r="D2" s="2">
        <x:v>425</x:v>
      </x:c>
      <x:c r="E2" s="2">
        <x:v>500</x:v>
      </x:c>
      <x:c r="F2" s="2">
        <x:v>36</x:v>
      </x:c>
      <x:c r="G2" s="2">
        <x:v>54</x:v>
      </x:c>
      <x:c r="H2" s="2">
        <x:v>3</x:v>
      </x:c>
      <x:c r="I2" s="2">
        <x:v>2</x:v>
      </x:c>
      <x:c r="J2" s="2">
        <x:v>30</x:v>
      </x:c>
      <x:c r="K2" s="2">
        <x:v>18</x:v>
      </x:c>
      <x:c r="L2" s="2">
        <x:v>7900</x:v>
      </x:c>
      <x:c r="M2" s="2" t="s">
        <x:v>219</x:v>
      </x:c>
      <x:c r="N2" s="2"/>
      <x:c r="O2" s="2"/>
      <x:c r="P2" s="2"/>
      <x:c r="Q2" s="2"/>
    </x:row>
    <x:row r="3">
      <x:c r="A3" s="2" t="s">
        <x:v>218</x:v>
      </x:c>
      <x:c r="B3" s="2" t="s">
        <x:v>220</x:v>
      </x:c>
      <x:c r="C3" s="2">
        <x:v>175</x:v>
      </x:c>
      <x:c r="D3" s="2">
        <x:v>425</x:v>
      </x:c>
      <x:c r="E3" s="2">
        <x:v>500</x:v>
      </x:c>
      <x:c r="F3" s="2">
        <x:v>26</x:v>
      </x:c>
      <x:c r="G3" s="2">
        <x:v>44</x:v>
      </x:c>
      <x:c r="H3" s="2">
        <x:v>3</x:v>
      </x:c>
      <x:c r="I3" s="2">
        <x:v>2</x:v>
      </x:c>
      <x:c r="J3" s="2">
        <x:v>19.5</x:v>
      </x:c>
      <x:c r="K3" s="2">
        <x:v>15</x:v>
      </x:c>
      <x:c r="L3" s="2">
        <x:v>6900</x:v>
      </x:c>
      <x:c r="M3" s="2" t="s">
        <x:v>221</x:v>
      </x:c>
      <x:c r="N3" s="2"/>
      <x:c r="O3" s="2"/>
      <x:c r="P3" s="2"/>
      <x:c r="Q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4.25"/>
  <x:cols>
    <x:col min="1" max="13" width="18" customWidth="1"/>
    <x:col min="14" max="14" width="46" customWidth="1"/>
  </x:cols>
  <x:sheetData>
    <x:row r="1" ht="15">
      <x:c r="A1" s="3" t="s">
        <x:v>183</x:v>
      </x:c>
      <x:c r="B1" s="3" t="s">
        <x:v>184</x:v>
      </x:c>
      <x:c r="C1" s="3" t="s">
        <x:v>222</x:v>
      </x:c>
      <x:c r="D1" s="3" t="s">
        <x:v>223</x:v>
      </x:c>
      <x:c r="E1" s="3" t="s">
        <x:v>224</x:v>
      </x:c>
      <x:c r="F1" s="3" t="s">
        <x:v>225</x:v>
      </x:c>
      <x:c r="G1" s="3" t="s">
        <x:v>226</x:v>
      </x:c>
      <x:c r="H1" s="3" t="s">
        <x:v>227</x:v>
      </x:c>
      <x:c r="I1" s="3" t="s">
        <x:v>228</x:v>
      </x:c>
      <x:c r="J1" s="3" t="s">
        <x:v>193</x:v>
      </x:c>
      <x:c r="K1" s="3" t="s">
        <x:v>229</x:v>
      </x:c>
      <x:c r="L1" s="3" t="s">
        <x:v>230</x:v>
      </x:c>
      <x:c r="M1" s="3" t="s">
        <x:v>231</x:v>
      </x:c>
      <x:c r="N1" s="3" t="s">
        <x:v>124</x:v>
      </x:c>
      <x:c r="O1" s="2"/>
      <x:c r="P1" s="2"/>
      <x:c r="Q1" s="2"/>
    </x:row>
    <x:row r="2">
      <x:c r="A2" s="2" t="s">
        <x:v>232</x:v>
      </x:c>
      <x:c r="B2" s="2" t="s">
        <x:v>43</x:v>
      </x:c>
      <x:c r="C2" s="2" t="s">
        <x:v>233</x:v>
      </x:c>
      <x:c r="D2" s="2">
        <x:v>16</x:v>
      </x:c>
      <x:c r="E2" s="2">
        <x:v>51.2</x:v>
      </x:c>
      <x:c r="F2" s="2">
        <x:v>314</x:v>
      </x:c>
      <x:c r="G2" s="2">
        <x:v>160</x:v>
      </x:c>
      <x:c r="H2" s="2">
        <x:v>160</x:v>
      </x:c>
      <x:c r="I2" s="2">
        <x:v>400</x:v>
      </x:c>
      <x:c r="J2" s="2">
        <x:v>330</x:v>
      </x:c>
      <x:c r="K2" s="2" t="s">
        <x:v>234</x:v>
      </x:c>
      <x:c r="L2" s="2" t="s">
        <x:v>235</x:v>
      </x:c>
      <x:c r="M2" s="2">
        <x:v>4900</x:v>
      </x:c>
      <x:c r="N2" s="2" t="s">
        <x:v>236</x:v>
      </x:c>
      <x:c r="O2" s="2"/>
      <x:c r="P2" s="2"/>
      <x:c r="Q2" s="2"/>
    </x:row>
    <x:row r="3">
      <x:c r="A3" s="2" t="s">
        <x:v>237</x:v>
      </x:c>
      <x:c r="B3" s="2" t="s">
        <x:v>238</x:v>
      </x:c>
      <x:c r="C3" s="2" t="s">
        <x:v>233</x:v>
      </x:c>
      <x:c r="D3" s="2">
        <x:v>16</x:v>
      </x:c>
      <x:c r="E3" s="2">
        <x:v>51.2</x:v>
      </x:c>
      <x:c r="F3" s="2">
        <x:v>314</x:v>
      </x:c>
      <x:c r="G3" s="2">
        <x:v>160</x:v>
      </x:c>
      <x:c r="H3" s="2">
        <x:v>160</x:v>
      </x:c>
      <x:c r="I3" s="2">
        <x:v>200</x:v>
      </x:c>
      <x:c r="J3" s="2">
        <x:v>320</x:v>
      </x:c>
      <x:c r="K3" s="2" t="s">
        <x:v>234</x:v>
      </x:c>
      <x:c r="L3" s="2" t="s">
        <x:v>239</x:v>
      </x:c>
      <x:c r="M3" s="2">
        <x:v>3700</x:v>
      </x:c>
      <x:c r="N3" s="2" t="s">
        <x:v>240</x:v>
      </x:c>
      <x:c r="O3" s="2"/>
      <x:c r="P3" s="2"/>
      <x:c r="Q3" s="2"/>
    </x:row>
    <x:row r="4">
      <x:c r="A4" s="2" t="s">
        <x:v>241</x:v>
      </x:c>
      <x:c r="B4" s="2" t="s">
        <x:v>242</x:v>
      </x:c>
      <x:c r="C4" s="2" t="s">
        <x:v>233</x:v>
      </x:c>
      <x:c r="D4" s="2">
        <x:v>19.2</x:v>
      </x:c>
      <x:c r="E4" s="2">
        <x:v>51.2</x:v>
      </x:c>
      <x:c r="F4" s="2">
        <x:v>375</x:v>
      </x:c>
      <x:c r="G4" s="2">
        <x:v>200</x:v>
      </x:c>
      <x:c r="H4" s="2">
        <x:v>200</x:v>
      </x:c>
      <x:c r="I4" s="2">
        <x:v>300</x:v>
      </x:c>
      <x:c r="J4" s="2">
        <x:v>500</x:v>
      </x:c>
      <x:c r="K4" s="2" t="s">
        <x:v>234</x:v>
      </x:c>
      <x:c r="L4" s="2" t="s">
        <x:v>239</x:v>
      </x:c>
      <x:c r="M4" s="2">
        <x:v>7200</x:v>
      </x:c>
      <x:c r="N4" s="2" t="s">
        <x:v>243</x:v>
      </x:c>
      <x:c r="O4" s="2"/>
      <x:c r="P4" s="2"/>
      <x:c r="Q4" s="2"/>
    </x:row>
    <x:row r="5">
      <x:c r="A5" s="2" t="s">
        <x:v>244</x:v>
      </x:c>
      <x:c r="B5" s="2" t="s">
        <x:v>245</x:v>
      </x:c>
      <x:c r="C5" s="2" t="s">
        <x:v>233</x:v>
      </x:c>
      <x:c r="D5" s="2">
        <x:v>16</x:v>
      </x:c>
      <x:c r="E5" s="2">
        <x:v>51.2</x:v>
      </x:c>
      <x:c r="F5" s="2">
        <x:v>314</x:v>
      </x:c>
      <x:c r="G5" s="2">
        <x:v>160</x:v>
      </x:c>
      <x:c r="H5" s="2">
        <x:v>160</x:v>
      </x:c>
      <x:c r="I5" s="2">
        <x:v>200</x:v>
      </x:c>
      <x:c r="J5" s="2">
        <x:v>320</x:v>
      </x:c>
      <x:c r="K5" s="2" t="s">
        <x:v>246</x:v>
      </x:c>
      <x:c r="L5" s="2" t="s">
        <x:v>239</x:v>
      </x:c>
      <x:c r="M5" s="2">
        <x:v>5200</x:v>
      </x:c>
      <x:c r="N5" s="2" t="s">
        <x:v>247</x:v>
      </x:c>
      <x:c r="O5" s="2"/>
      <x:c r="P5" s="2"/>
      <x:c r="Q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4.25"/>
  <x:cols>
    <x:col min="1" max="1" width="10.5" customWidth="1"/>
    <x:col min="2" max="2" width="10.875" customWidth="1"/>
    <x:col min="3" max="3" width="11.375" customWidth="1"/>
    <x:col min="4" max="4" width="16" customWidth="1"/>
    <x:col min="5" max="5" width="6.875" customWidth="1"/>
  </x:cols>
  <x:sheetData>
    <x:row r="1" ht="15">
      <x:c r="A1" s="3" t="s">
        <x:v>248</x:v>
      </x:c>
      <x:c r="B1" s="3" t="s">
        <x:v>50</x:v>
      </x:c>
      <x:c r="C1" s="3" t="s">
        <x:v>54</x:v>
      </x:c>
      <x:c r="D1" s="3" t="s">
        <x:v>81</x:v>
      </x:c>
      <x:c r="E1" s="3" t="s">
        <x:v>96</x:v>
      </x:c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>
      <x:c r="A2" s="2" t="s">
        <x:v>88</x:v>
      </x:c>
      <x:c r="B2" s="2" t="s">
        <x:v>51</x:v>
      </x:c>
      <x:c r="C2" s="2" t="s">
        <x:v>55</x:v>
      </x:c>
      <x:c r="D2" s="2" t="s">
        <x:v>82</x:v>
      </x:c>
      <x:c r="E2" s="2" t="s">
        <x:v>99</x:v>
      </x:c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>
      <x:c r="A3" s="2" t="s">
        <x:v>89</x:v>
      </x:c>
      <x:c r="B3" s="2" t="s">
        <x:v>128</x:v>
      </x:c>
      <x:c r="C3" s="2" t="s">
        <x:v>249</x:v>
      </x:c>
      <x:c r="D3" s="2" t="s">
        <x:v>250</x:v>
      </x:c>
      <x:c r="E3" s="2" t="s">
        <x:v>102</x:v>
      </x:c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>
      <x:c r="A4" s="2" t="s">
        <x:v>90</x:v>
      </x:c>
      <x:c r="B4" s="2"/>
      <x:c r="C4" s="2" t="s">
        <x:v>251</x:v>
      </x:c>
      <x:c r="D4" s="2"/>
      <x:c r="E4" s="2" t="s">
        <x:v>105</x:v>
      </x:c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>
      <x:c r="A5" s="2" t="s">
        <x:v>91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>
      <x:c r="A6" s="2" t="s">
        <x:v>92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</x:row>
    <x:row r="7">
      <x:c r="A7" s="2" t="s">
        <x:v>93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</x:row>
    <x:row r="8">
      <x:c r="A8" s="2" t="s">
        <x:v>252</x:v>
      </x:c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4.25"/>
  <x:cols>
    <x:col min="1" max="3" width="25" customWidth="1"/>
    <x:col min="4" max="4" width="60" customWidth="1"/>
  </x:cols>
  <x:sheetData>
    <x:row r="1" ht="39">
      <x:c r="A1" s="10" t="s">
        <x:v>253</x:v>
      </x:c>
      <x:c r="B1" s="6"/>
      <x:c r="C1" s="6"/>
      <x:c r="D1" s="6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 ht="15">
      <x:c r="A3" s="4" t="s">
        <x:v>254</x:v>
      </x:c>
      <x:c r="B3" s="4" t="s">
        <x:v>165</x:v>
      </x:c>
      <x:c r="C3" s="4" t="s">
        <x:v>255</x:v>
      </x:c>
      <x:c r="D3" s="4" t="s">
        <x:v>256</x:v>
      </x:c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>
      <x:c r="A4" s="2" t="s">
        <x:v>257</x:v>
      </x:c>
      <x:c r="B4" s="2" t="s">
        <x:v>258</x:v>
      </x:c>
      <x:c r="C4" s="2" t="s">
        <x:v>259</x:v>
      </x:c>
      <x:c r="D4" s="2" t="s">
        <x:v>260</x:v>
      </x:c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>
      <x:c r="A5" s="2" t="s">
        <x:v>257</x:v>
      </x:c>
      <x:c r="B5" s="2" t="s">
        <x:v>6</x:v>
      </x:c>
      <x:c r="C5" s="2" t="s">
        <x:v>261</x:v>
      </x:c>
      <x:c r="D5" s="2" t="s">
        <x:v>262</x:v>
      </x:c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>
      <x:c r="A6" s="2" t="s">
        <x:v>257</x:v>
      </x:c>
      <x:c r="B6" s="2" t="s">
        <x:v>263</x:v>
      </x:c>
      <x:c r="C6" s="2" t="s">
        <x:v>264</x:v>
      </x:c>
      <x:c r="D6" s="2" t="s">
        <x:v>265</x:v>
      </x:c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</x:row>
    <x:row r="7">
      <x:c r="A7" s="2" t="s">
        <x:v>257</x:v>
      </x:c>
      <x:c r="B7" s="2" t="s">
        <x:v>266</x:v>
      </x:c>
      <x:c r="C7" s="2" t="s">
        <x:v>267</x:v>
      </x:c>
      <x:c r="D7" s="2" t="s">
        <x:v>268</x:v>
      </x:c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</x:row>
    <x:row r="8">
      <x:c r="A8" s="2" t="s">
        <x:v>257</x:v>
      </x:c>
      <x:c r="B8" s="2" t="s">
        <x:v>269</x:v>
      </x:c>
      <x:c r="C8" s="2" t="s">
        <x:v>270</x:v>
      </x:c>
      <x:c r="D8" s="2" t="s">
        <x:v>271</x:v>
      </x:c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</x:row>
    <x:row r="10">
      <x:c r="A10" s="90" t="str">
        <x:v>v4.2 CSV Import Architecture</x:v>
      </x:c>
      <x:c r="B10" s="90" t="str"/>
      <x:c r="C10" s="90" t="str"/>
      <x:c r="D10" s="90" t="str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</x:row>
    <x:row r="11">
      <x:c r="A11" s="2" t="str">
        <x:v>Change</x:v>
      </x:c>
      <x:c r="B11" s="2" t="str">
        <x:v>Added CSV import architecture sheet and external CSV database package.</x:v>
      </x:c>
      <x:c r="C11" s="2" t="str"/>
      <x:c r="D11" s="2" t="str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</x:row>
    <x:row r="12">
      <x:c r="A12" s="2" t="str">
        <x:v>Design Rule</x:v>
      </x:c>
      <x:c r="B12" s="2" t="str">
        <x:v>CSV files become authoritative data source; internal DB sheets are import targets for formulas.</x:v>
      </x:c>
      <x:c r="C12" s="2" t="str"/>
      <x:c r="D12" s="2" t="str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</x:row>
    <x:row r="13">
      <x:c r="A13" s="2" t="str">
        <x:v>Limitation</x:v>
      </x:c>
      <x:c r="B13" s="2" t="str">
        <x:v>True open-on-startup import requires VBA/.xlsm or external refresh script; plain .xlsx cannot run code.</x:v>
      </x:c>
      <x:c r="C13" s="2" t="str"/>
      <x:c r="D13" s="2" t="str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</x:row>
    <x:row r="14">
      <x:c r="A14" s="2" t="str">
        <x:v>Next</x:v>
      </x:c>
      <x:c r="B14" s="2" t="str">
        <x:v>Build numerical layout/shade engine using internal DB sheets after import workflow is validated.</x:v>
      </x:c>
      <x:c r="C14" s="2" t="str"/>
      <x:c r="D14" s="2" t="str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46" hidden="0" customWidth="1"/>
    <x:col min="3" max="3" width="18" hidden="0" customWidth="1"/>
    <x:col min="4" max="4" width="52" hidden="0" customWidth="1"/>
  </x:cols>
  <x:sheetData>
    <x:row r="1">
      <x:c r="A1" s="86" t="str">
        <x:v>SDEP CSV Import Architecture</x:v>
      </x:c>
      <x:c r="B1" s="86" t="str"/>
      <x:c r="C1" s="86" t="str"/>
      <x:c r="D1" s="86" t="str"/>
    </x:row>
    <x:row r="2">
      <x:c r="A2" t="str">
        <x:v>Purpose</x:v>
      </x:c>
      <x:c r="B2" t="str">
        <x:v>Keep databases external as CSV files for version control, while importing them into internal DB_* sheets for formulas.</x:v>
      </x:c>
      <x:c r="C2" t="str"/>
      <x:c r="D2" t="str"/>
    </x:row>
    <x:row r="3">
      <x:c r="A3" t="str">
        <x:v>Important</x:v>
      </x:c>
      <x:c r="B3" t="str">
        <x:v>Plain .xlsx files cannot execute code on workbook open. For true startup import, save as .xlsm and add the supplied VBA module.</x:v>
      </x:c>
      <x:c r="C3" t="str"/>
      <x:c r="D3" t="str"/>
    </x:row>
    <x:row r="4">
      <x:c r="A4" t="str">
        <x:v>Current approach</x:v>
      </x:c>
      <x:c r="B4" t="str">
        <x:v>This workbook remains formula-driven using internal DB sheets. CSV files are authoritative source files.</x:v>
      </x:c>
      <x:c r="C4" t="str"/>
      <x:c r="D4" t="str"/>
    </x:row>
    <x:row r="5">
      <x:c r="A5" t="str"/>
      <x:c r="B5" t="str"/>
      <x:c r="C5" t="str"/>
      <x:c r="D5" t="str"/>
    </x:row>
    <x:row r="6">
      <x:c r="A6" s="84" t="str">
        <x:v>CSV File</x:v>
      </x:c>
      <x:c r="B6" s="84" t="str">
        <x:v>Target Sheet</x:v>
      </x:c>
      <x:c r="C6" s="84" t="str">
        <x:v>Import Range Start</x:v>
      </x:c>
      <x:c r="D6" s="84" t="str">
        <x:v>Notes</x:v>
      </x:c>
    </x:row>
    <x:row r="7">
      <x:c r="A7" t="str">
        <x:v>Data/Panels.csv</x:v>
      </x:c>
      <x:c r="B7" t="str">
        <x:v>DB_Panels</x:v>
      </x:c>
      <x:c r="C7" t="str">
        <x:v>A1</x:v>
      </x:c>
      <x:c r="D7" t="str">
        <x:v>Panel manufacturer/model/electrical/mechanical/cost data</x:v>
      </x:c>
    </x:row>
    <x:row r="8">
      <x:c r="A8" t="str">
        <x:v>Data/Inverters.csv</x:v>
      </x:c>
      <x:c r="B8" t="str">
        <x:v>DB_Inverters</x:v>
      </x:c>
      <x:c r="C8" t="str">
        <x:v>A1</x:v>
      </x:c>
      <x:c r="D8" t="str">
        <x:v>Inverter limits and cost data</x:v>
      </x:c>
    </x:row>
    <x:row r="9">
      <x:c r="A9" t="str">
        <x:v>Data/Batteries.csv</x:v>
      </x:c>
      <x:c r="B9" t="str">
        <x:v>DB_Batteries</x:v>
      </x:c>
      <x:c r="C9" t="str">
        <x:v>A1</x:v>
      </x:c>
      <x:c r="D9" t="str">
        <x:v>Battery electrical/physical/integration/cost data</x:v>
      </x:c>
    </x:row>
    <x:row r="10">
      <x:c r="A10" t="str">
        <x:v>Data/Lists.csv</x:v>
      </x:c>
      <x:c r="B10" t="str">
        <x:v>DB_Lists</x:v>
      </x:c>
      <x:c r="C10" t="str">
        <x:v>A1</x:v>
      </x:c>
      <x:c r="D10" t="str">
        <x:v>Dropdown lists and lookup categories</x:v>
      </x:c>
    </x:row>
    <x:row r="11">
      <x:c r="A11" t="str"/>
      <x:c r="B11" t="str"/>
      <x:c r="C11" t="str"/>
      <x:c r="D11" t="str"/>
    </x:row>
    <x:row r="12">
      <x:c r="A12" s="84" t="str">
        <x:v>Recommended GitHub Layout</x:v>
      </x:c>
      <x:c r="B12" s="84" t="str"/>
      <x:c r="C12" s="84" t="str"/>
      <x:c r="D12" s="84" t="str"/>
    </x:row>
    <x:row r="13">
      <x:c r="A13" t="str">
        <x:v>Excel/Current/SDEP_v4_2_csv_import.xlsx</x:v>
      </x:c>
      <x:c r="B13" t="str">
        <x:v>Main workbook</x:v>
      </x:c>
      <x:c r="C13" t="str"/>
      <x:c r="D13" t="str"/>
    </x:row>
    <x:row r="14">
      <x:c r="A14" t="str">
        <x:v>Data/*.csv</x:v>
      </x:c>
      <x:c r="B14" t="str">
        <x:v>Authoritative equipment databases</x:v>
      </x:c>
      <x:c r="C14" t="str"/>
      <x:c r="D14" t="str"/>
    </x:row>
    <x:row r="15">
      <x:c r="A15" t="str">
        <x:v>Scripts/refresh_sdep_from_csv.py</x:v>
      </x:c>
      <x:c r="B15" t="str">
        <x:v>Manual/automated refresh utility</x:v>
      </x:c>
      <x:c r="C15" t="str"/>
      <x:c r="D15" t="str"/>
    </x:row>
    <x:row r="16">
      <x:c r="A16" t="str">
        <x:v>VBA/ImportCsvOnOpen.bas</x:v>
      </x:c>
      <x:c r="B16" t="str">
        <x:v>Optional on-open macro implementation</x:v>
      </x:c>
      <x:c r="C16" t="str"/>
      <x:c r="D16" t="str"/>
    </x:row>
    <x:row r="17">
      <x:c r="A17" t="str"/>
      <x:c r="B17" t="str"/>
      <x:c r="C17" t="str"/>
      <x:c r="D17" t="str"/>
    </x:row>
    <x:row r="18">
      <x:c r="A18" s="84" t="str">
        <x:v>Workflow</x:v>
      </x:c>
      <x:c r="B18" s="84" t="str">
        <x:v>1. Edit CSV files in Data/.</x:v>
      </x:c>
      <x:c r="C18" s="84" t="str"/>
      <x:c r="D18" s="84" t="str"/>
    </x:row>
    <x:row r="19">
      <x:c r="A19" t="str"/>
      <x:c r="B19" t="str">
        <x:v>2. Run Scripts/refresh_sdep_from_csv.py or use the VBA macro in an .xlsm copy.</x:v>
      </x:c>
      <x:c r="C19" t="str"/>
      <x:c r="D19" t="str"/>
    </x:row>
    <x:row r="20">
      <x:c r="A20" t="str"/>
      <x:c r="B20" t="str">
        <x:v>3. Open workbook and verify Build/Dashboard outputs.</x:v>
      </x:c>
      <x:c r="C20" t="str"/>
      <x:c r="D20" t="str"/>
    </x:row>
    <x:row r="21">
      <x:c r="A21" t="str"/>
      <x:c r="B21" t="str">
        <x:v>4. Commit workbook + CSV changes to GitHub.</x:v>
      </x:c>
      <x:c r="C21" t="str"/>
      <x:c r="D21" t="str"/>
    </x:row>
  </x:sheetData>
  <x:pageMargins left="0.7" right="0.7" top="0.75" bottom="0.75" header="0.3" footer="0.3"/>
</x:worksheet>
</file>