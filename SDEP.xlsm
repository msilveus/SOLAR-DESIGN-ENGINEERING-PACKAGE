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SOLAR-DESIGN-ENGINEERING-PACKAGE\"/>
    </mc:Choice>
  </mc:AlternateContent>
  <xr:revisionPtr revIDLastSave="0" documentId="13_ncr:1_{1CEB5601-6B47-4F63-808D-CF8BFD24AF3E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01_Dashboard" sheetId="1" r:id="rId1"/>
    <sheet name="02_Build" sheetId="2" r:id="rId2"/>
    <sheet name="03_Layout_Designer" sheetId="3" r:id="rId3"/>
    <sheet name="04_Shade_Optimizer" sheetId="4" r:id="rId4"/>
    <sheet name="05_Design_Review" sheetId="5" r:id="rId5"/>
    <sheet name="DB_Panels" sheetId="6" r:id="rId6"/>
    <sheet name="DB_Inverters" sheetId="7" r:id="rId7"/>
    <sheet name="DB_Batteries" sheetId="8" r:id="rId8"/>
    <sheet name="DB_Lists" sheetId="9" r:id="rId9"/>
    <sheet name="Notes" sheetId="10" r:id="rId10"/>
    <sheet name="00_CSV_Import" sheetId="11" r:id="rId11"/>
  </sheets>
  <functionGroups builtInGroupCount="19"/>
  <definedNames>
    <definedName name="BatteryList">DB_Lists!$AH$2:$AH$5</definedName>
    <definedName name="InverterList">DB_Lists!$AE$2:$AE$3</definedName>
    <definedName name="MountTypeList">DB_Lists!$C$2:$C$4</definedName>
    <definedName name="MpptModeList">DB_Lists!$D$2:$D$3</definedName>
    <definedName name="OrientationList">DB_Lists!$B$2:$B$3</definedName>
    <definedName name="PanelList">DB_Lists!$AB$2:$AB$6</definedName>
    <definedName name="PanelsPerString">'02_Build'!$B$18</definedName>
    <definedName name="SelectedBatteryID">DB_Lists!$AO$4</definedName>
    <definedName name="SelectedInverterID">DB_Lists!$AO$3</definedName>
    <definedName name="SelectedPanelID">DB_Lists!$AO$2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F10" i="4"/>
  <c r="G10" i="4" s="1"/>
  <c r="H9" i="4"/>
  <c r="F9" i="4"/>
  <c r="G9" i="4" s="1"/>
  <c r="H8" i="4"/>
  <c r="F8" i="4"/>
  <c r="G8" i="4" s="1"/>
  <c r="H7" i="4"/>
  <c r="F7" i="4"/>
  <c r="G7" i="4" s="1"/>
  <c r="H6" i="4"/>
  <c r="F6" i="4"/>
  <c r="G6" i="4" s="1"/>
  <c r="H5" i="4"/>
  <c r="F5" i="4"/>
  <c r="G5" i="4" s="1"/>
  <c r="E20" i="3"/>
  <c r="E19" i="3"/>
  <c r="E18" i="3"/>
  <c r="E17" i="3"/>
  <c r="B8" i="3"/>
  <c r="B7" i="3"/>
  <c r="B6" i="3"/>
  <c r="B5" i="3"/>
  <c r="B4" i="3"/>
  <c r="B9" i="1"/>
  <c r="B8" i="1"/>
  <c r="B7" i="1"/>
  <c r="B6" i="1"/>
  <c r="B5" i="1"/>
  <c r="B4" i="1"/>
  <c r="F4" i="2" a="1"/>
  <c r="J11" i="2" a="1"/>
  <c r="H4" i="2" a="1"/>
  <c r="H6" i="2" a="1"/>
  <c r="F21" i="2" a="1"/>
  <c r="H10" i="2" a="1"/>
  <c r="F7" i="2" a="1"/>
  <c r="H11" i="2" a="1"/>
  <c r="D20" i="2" a="1"/>
  <c r="D21" i="2" a="1"/>
  <c r="D15" i="2" a="1"/>
  <c r="D19" i="2" a="1"/>
  <c r="D18" i="2" a="1"/>
  <c r="D17" i="2" a="1"/>
  <c r="D13" i="2" a="1"/>
  <c r="D16" i="2" a="1"/>
  <c r="D14" i="2" a="1"/>
  <c r="D5" i="2" a="1"/>
  <c r="D7" i="2" a="1"/>
  <c r="D12" i="2" a="1"/>
  <c r="D4" i="2" a="1"/>
  <c r="D9" i="2" a="1"/>
  <c r="D6" i="2" a="1"/>
  <c r="D8" i="2" a="1"/>
  <c r="D10" i="2" a="1"/>
  <c r="D11" i="2" a="1"/>
  <c r="J11" i="2" l="1"/>
  <c r="H11" i="2"/>
  <c r="H6" i="2"/>
  <c r="H4" i="2"/>
  <c r="H10" i="2"/>
  <c r="F21" i="2"/>
  <c r="D9" i="2"/>
  <c r="D8" i="2"/>
  <c r="D10" i="2"/>
  <c r="D11" i="2"/>
  <c r="F4" i="2"/>
  <c r="F7" i="2"/>
  <c r="D20" i="2"/>
  <c r="D21" i="2"/>
  <c r="D14" i="2"/>
  <c r="D18" i="2"/>
  <c r="D15" i="2"/>
  <c r="D17" i="2"/>
  <c r="D16" i="2"/>
  <c r="D19" i="2"/>
  <c r="D13" i="2"/>
  <c r="D12" i="2"/>
  <c r="D5" i="2"/>
  <c r="D6" i="2"/>
  <c r="D7" i="2"/>
  <c r="D4" i="2"/>
  <c r="G13" i="4"/>
  <c r="G14" i="4"/>
  <c r="G15" i="4"/>
  <c r="H7" i="2" a="1"/>
  <c r="F15" i="2" a="1"/>
  <c r="I9" i="2" a="1"/>
  <c r="F11" i="2" a="1"/>
  <c r="I8" i="2" a="1"/>
  <c r="I6" i="2" a="1"/>
  <c r="F17" i="2" a="1"/>
  <c r="I10" i="2" a="1"/>
  <c r="I4" i="2" a="1"/>
  <c r="I5" i="2" a="1"/>
  <c r="F5" i="2" a="1"/>
  <c r="J7" i="2" a="1"/>
  <c r="I7" i="2" a="1"/>
  <c r="J10" i="2" a="1"/>
  <c r="F6" i="2" a="1"/>
  <c r="J4" i="2" a="1"/>
  <c r="F14" i="2" a="1"/>
  <c r="I11" i="2" a="1"/>
  <c r="F16" i="2" a="1"/>
  <c r="F9" i="2" a="1"/>
  <c r="J6" i="2" a="1"/>
  <c r="F12" i="2" a="1"/>
  <c r="F8" i="2" a="1"/>
  <c r="I11" i="2" l="1"/>
  <c r="J7" i="2"/>
  <c r="J10" i="2"/>
  <c r="I7" i="2"/>
  <c r="I8" i="2"/>
  <c r="I9" i="2"/>
  <c r="J6" i="2"/>
  <c r="J4" i="2"/>
  <c r="F12" i="2"/>
  <c r="B12" i="1" s="1"/>
  <c r="I4" i="2"/>
  <c r="I6" i="2"/>
  <c r="H7" i="2"/>
  <c r="F6" i="2"/>
  <c r="I5" i="2"/>
  <c r="I10" i="2"/>
  <c r="F8" i="2"/>
  <c r="F9" i="2"/>
  <c r="F17" i="2"/>
  <c r="F16" i="2"/>
  <c r="B9" i="3" s="1"/>
  <c r="F15" i="2"/>
  <c r="G20" i="3" s="1"/>
  <c r="F14" i="2"/>
  <c r="H18" i="3" s="1"/>
  <c r="F11" i="2"/>
  <c r="B11" i="1" s="1"/>
  <c r="F5" i="2"/>
  <c r="H5" i="2" a="1"/>
  <c r="J5" i="2" a="1"/>
  <c r="H8" i="2" a="1"/>
  <c r="F10" i="2" a="1"/>
  <c r="H9" i="2" a="1"/>
  <c r="F13" i="2" a="1"/>
  <c r="F18" i="2" a="1"/>
  <c r="J8" i="2" a="1"/>
  <c r="J9" i="2" a="1"/>
  <c r="F20" i="2" a="1"/>
  <c r="F19" i="2" a="1"/>
  <c r="J9" i="2" l="1"/>
  <c r="C7" i="5" s="1"/>
  <c r="J8" i="2"/>
  <c r="C6" i="5" s="1"/>
  <c r="J5" i="2"/>
  <c r="F13" i="2"/>
  <c r="H5" i="2"/>
  <c r="F20" i="2"/>
  <c r="B13" i="1" s="1"/>
  <c r="H8" i="2"/>
  <c r="H9" i="2"/>
  <c r="F10" i="2"/>
  <c r="F19" i="2"/>
  <c r="F18" i="2"/>
  <c r="G19" i="3"/>
  <c r="B10" i="3"/>
  <c r="H20" i="3"/>
  <c r="H19" i="3"/>
  <c r="F20" i="3"/>
  <c r="F17" i="3"/>
  <c r="F19" i="3"/>
  <c r="G18" i="3"/>
  <c r="H17" i="3"/>
  <c r="G17" i="3"/>
  <c r="F18" i="3"/>
  <c r="B10" i="1"/>
  <c r="C4" i="5"/>
  <c r="C5" i="5"/>
  <c r="B12" i="3" l="1"/>
  <c r="B11" i="3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<sst xmlns="http://schemas.openxmlformats.org/spreadsheetml/2006/main" count="566" uniqueCount="354">
  <si>
    <t>SOLAR DESIGN ENGINEERING PACKAGE — DASHBOARD</t>
  </si>
  <si>
    <t>Current Design</t>
  </si>
  <si>
    <t>Design Status</t>
  </si>
  <si>
    <t>Project</t>
  </si>
  <si>
    <t>Electrical</t>
  </si>
  <si>
    <t>Panel</t>
  </si>
  <si>
    <t>Layout</t>
  </si>
  <si>
    <t>Column-based strings</t>
  </si>
  <si>
    <t>Inverter</t>
  </si>
  <si>
    <t>Shade</t>
  </si>
  <si>
    <t>First-pass model</t>
  </si>
  <si>
    <t>Battery</t>
  </si>
  <si>
    <t>Cost</t>
  </si>
  <si>
    <t>Hardware estimate only</t>
  </si>
  <si>
    <t>Battery Qty</t>
  </si>
  <si>
    <t>Mechanical</t>
  </si>
  <si>
    <t>Engineer review required</t>
  </si>
  <si>
    <t>Array Layout</t>
  </si>
  <si>
    <t>Next Step</t>
  </si>
  <si>
    <t>Validate rack height/wind loading</t>
  </si>
  <si>
    <t>DC Array kW</t>
  </si>
  <si>
    <t>Battery Storage kWh</t>
  </si>
  <si>
    <t>Estimated Hardware $</t>
  </si>
  <si>
    <t>Electrical Status</t>
  </si>
  <si>
    <t>SOLAR DESIGN ENGINEERING PACKAGE — BUILD PAGE v4.0</t>
  </si>
  <si>
    <t>Design Inputs</t>
  </si>
  <si>
    <t>Selected Equipment Values</t>
  </si>
  <si>
    <t>Live Engineering Summary</t>
  </si>
  <si>
    <t>Check</t>
  </si>
  <si>
    <t>Calculated</t>
  </si>
  <si>
    <t>Limit</t>
  </si>
  <si>
    <t>Status</t>
  </si>
  <si>
    <t>44755 Savage Rd, Coarsegold CA</t>
  </si>
  <si>
    <t>Panel W</t>
  </si>
  <si>
    <t>Total Panels</t>
  </si>
  <si>
    <t>Panel Model</t>
  </si>
  <si>
    <t>REC Alpha Pure-RX 460</t>
  </si>
  <si>
    <t>Panel Voc</t>
  </si>
  <si>
    <t>Cold Voc</t>
  </si>
  <si>
    <t>Sol-Ark 18K-2P-LV</t>
  </si>
  <si>
    <t>Panel Vmp</t>
  </si>
  <si>
    <t>MPPT Current</t>
  </si>
  <si>
    <t>Discover Helios ESS</t>
  </si>
  <si>
    <t>Panel Isc</t>
  </si>
  <si>
    <t>Cold String Voc</t>
  </si>
  <si>
    <t>MPPT Isc</t>
  </si>
  <si>
    <t>Panel Imp</t>
  </si>
  <si>
    <t>MPPT Operating Current</t>
  </si>
  <si>
    <t>MPPT Count</t>
  </si>
  <si>
    <t>Orientation</t>
  </si>
  <si>
    <t>Portrait</t>
  </si>
  <si>
    <t>Voc Temp %/C</t>
  </si>
  <si>
    <t>MPPT Short-Circuit Current</t>
  </si>
  <si>
    <t>Mount Type</t>
  </si>
  <si>
    <t>Panel Length ft</t>
  </si>
  <si>
    <t>Power per MPPT kW</t>
  </si>
  <si>
    <t>Rows High</t>
  </si>
  <si>
    <t>Panel Width ft</t>
  </si>
  <si>
    <t>Columns Wide</t>
  </si>
  <si>
    <t>Panel Cost</t>
  </si>
  <si>
    <t>Banks</t>
  </si>
  <si>
    <t>Inv MPPT Min</t>
  </si>
  <si>
    <t>Cost per DC Watt</t>
  </si>
  <si>
    <t>Tilt °</t>
  </si>
  <si>
    <t>Inv MPPT Max</t>
  </si>
  <si>
    <t>Azimuth °</t>
  </si>
  <si>
    <t>Inv Max Voc</t>
  </si>
  <si>
    <t>Inv Max Op A</t>
  </si>
  <si>
    <t>Array Width ft</t>
  </si>
  <si>
    <t>Panels/String</t>
  </si>
  <si>
    <t>Inv Max Isc A</t>
  </si>
  <si>
    <t>Sloped Array Height ft</t>
  </si>
  <si>
    <t>Total Strings</t>
  </si>
  <si>
    <t>Inv MPPT Count</t>
  </si>
  <si>
    <t>Ground Depth ft</t>
  </si>
  <si>
    <t>Strings/MPPT</t>
  </si>
  <si>
    <t>Inv Cost</t>
  </si>
  <si>
    <t>Rear Edge Rise ft</t>
  </si>
  <si>
    <t>MPPT Mode</t>
  </si>
  <si>
    <t>Manual</t>
  </si>
  <si>
    <t>Battery kWh</t>
  </si>
  <si>
    <t>BOS Estimate $</t>
  </si>
  <si>
    <t>Battery Cost</t>
  </si>
  <si>
    <t>Layout Note</t>
  </si>
  <si>
    <t>Visual Array Builder — default 3×12 column strings (change string IDs in cells)</t>
  </si>
  <si>
    <t>S1</t>
  </si>
  <si>
    <t>S2</t>
  </si>
  <si>
    <t>S3</t>
  </si>
  <si>
    <t>S4</t>
  </si>
  <si>
    <t>S5</t>
  </si>
  <si>
    <t>S6</t>
  </si>
  <si>
    <t>String</t>
  </si>
  <si>
    <t>Physical Zone</t>
  </si>
  <si>
    <t>MPPT</t>
  </si>
  <si>
    <t>Shade Pairing Rationale</t>
  </si>
  <si>
    <t>West edge columns 1-2</t>
  </si>
  <si>
    <t>MPPT1</t>
  </si>
  <si>
    <t>Pair west edge with east edge</t>
  </si>
  <si>
    <t>West-center columns 3-4</t>
  </si>
  <si>
    <t>MPPT2</t>
  </si>
  <si>
    <t>Pair symmetric inward zones</t>
  </si>
  <si>
    <t>Center-west columns 5-6</t>
  </si>
  <si>
    <t>MPPT3</t>
  </si>
  <si>
    <t>Pair center strings</t>
  </si>
  <si>
    <t>Center-east columns 7-8</t>
  </si>
  <si>
    <t>East-center columns 9-10</t>
  </si>
  <si>
    <t>East edge columns 11-12</t>
  </si>
  <si>
    <t>Pair east edge with west edge</t>
  </si>
  <si>
    <t>Design rationale: default strings are vertical column groups so east/west tree shadows tend to affect one string group at a time rather than clipping every row simultaneously. MPPT pairs are symmetric west/east to reduce the chance that a single edge shadow drags down both strings on the same tracker.</t>
  </si>
  <si>
    <t>LAYOUT DESIGNER — Mechanical + Electrical Topology</t>
  </si>
  <si>
    <t>Inputs linked from Build</t>
  </si>
  <si>
    <t>Panel Map / String Topology</t>
  </si>
  <si>
    <t>Sloped Height ft</t>
  </si>
  <si>
    <t>Rear Rise ft</t>
  </si>
  <si>
    <t>Layout Comparisons</t>
  </si>
  <si>
    <t>Option</t>
  </si>
  <si>
    <t>Rows</t>
  </si>
  <si>
    <t>Cols</t>
  </si>
  <si>
    <t>Panels</t>
  </si>
  <si>
    <t>Width ft</t>
  </si>
  <si>
    <t>String Fit</t>
  </si>
  <si>
    <t>Notes</t>
  </si>
  <si>
    <t>3×12 single mount</t>
  </si>
  <si>
    <t>Clean 6 strings</t>
  </si>
  <si>
    <t>Compact width; taller rear edge</t>
  </si>
  <si>
    <t>Landscape</t>
  </si>
  <si>
    <t>Lower rear edge; wider footprint</t>
  </si>
  <si>
    <t>2×18 single mount</t>
  </si>
  <si>
    <t>Awkward with 6-panel column strings</t>
  </si>
  <si>
    <t>Lower but wider; strings may traverse zones</t>
  </si>
  <si>
    <t>2 banks of 2×9</t>
  </si>
  <si>
    <t>Likely awkward string crossing</t>
  </si>
  <si>
    <t>Needs bank spacing; less desirable electrically</t>
  </si>
  <si>
    <t>SHADE OPTIMIZER — First Iteration / Conceptual Model</t>
  </si>
  <si>
    <t>Shade Inputs</t>
  </si>
  <si>
    <t>String Impact Estimate</t>
  </si>
  <si>
    <t>Time Scenario</t>
  </si>
  <si>
    <t>Morning West Edge</t>
  </si>
  <si>
    <t>Columns</t>
  </si>
  <si>
    <t>Shade Hit?</t>
  </si>
  <si>
    <t>Est Power %</t>
  </si>
  <si>
    <t>Assigned MPPT</t>
  </si>
  <si>
    <t>Shadowed Columns</t>
  </si>
  <si>
    <t>1-2</t>
  </si>
  <si>
    <t>Power of shaded panel/string %</t>
  </si>
  <si>
    <t>3-4</t>
  </si>
  <si>
    <t>Unshaded power %</t>
  </si>
  <si>
    <t>5-6</t>
  </si>
  <si>
    <t>String strategy</t>
  </si>
  <si>
    <t>Column Groups</t>
  </si>
  <si>
    <t>7-8</t>
  </si>
  <si>
    <t>9-10</t>
  </si>
  <si>
    <t>11-12</t>
  </si>
  <si>
    <t>String A</t>
  </si>
  <si>
    <t>String B</t>
  </si>
  <si>
    <t>Avg Power %</t>
  </si>
  <si>
    <t>Comment</t>
  </si>
  <si>
    <t>Symmetric edge pairing</t>
  </si>
  <si>
    <t>Symmetric mid pairing</t>
  </si>
  <si>
    <t>Center pairing</t>
  </si>
  <si>
    <t>This is a first-pass shade model. It is not a production simulator yet. Its purpose is to compare string topologies under edge-shadow behavior. Next iteration can add tree distance/height, solar azimuth, and a time slider.</t>
  </si>
  <si>
    <t>DESIGN REVIEW CHECKLIST</t>
  </si>
  <si>
    <t>Area</t>
  </si>
  <si>
    <t>String Vmp inside MPPT range</t>
  </si>
  <si>
    <t>Cold Voc below inverter max</t>
  </si>
  <si>
    <t>MPPT operating current below max</t>
  </si>
  <si>
    <t>MPPT Isc below max</t>
  </si>
  <si>
    <t>Column-based strings selected</t>
  </si>
  <si>
    <t>PASS</t>
  </si>
  <si>
    <t>Chosen for east/west edge-shadow tolerance</t>
  </si>
  <si>
    <t>3×12 single mount under review</t>
  </si>
  <si>
    <t>REVIEW</t>
  </si>
  <si>
    <t>Verify rear-edge height/wind load with engineer</t>
  </si>
  <si>
    <t>Battery integration</t>
  </si>
  <si>
    <t>Confirm Discover/Sol-Ark firmware and wiring kit</t>
  </si>
  <si>
    <t>Foundation/racking</t>
  </si>
  <si>
    <t>Requires structural engineer</t>
  </si>
  <si>
    <t>Site</t>
  </si>
  <si>
    <t>Tree removal/shading</t>
  </si>
  <si>
    <t>Measure tree heights and sun window after escrow</t>
  </si>
  <si>
    <t>Manufacturer</t>
  </si>
  <si>
    <t>Model</t>
  </si>
  <si>
    <t>STC W</t>
  </si>
  <si>
    <t>Voc V</t>
  </si>
  <si>
    <t>Vmp V</t>
  </si>
  <si>
    <t>Isc A</t>
  </si>
  <si>
    <t>Imp A</t>
  </si>
  <si>
    <t>Pmax Temp %/C</t>
  </si>
  <si>
    <t>Length mm</t>
  </si>
  <si>
    <t>Width mm</t>
  </si>
  <si>
    <t>Weight lb</t>
  </si>
  <si>
    <t>Series Fuse A</t>
  </si>
  <si>
    <t>Max System V</t>
  </si>
  <si>
    <t>Ballpark $/panel</t>
  </si>
  <si>
    <t>Source/Notes</t>
  </si>
  <si>
    <t>REC</t>
  </si>
  <si>
    <t>Verify against current REC datasheet before purchase</t>
  </si>
  <si>
    <t>Qcells</t>
  </si>
  <si>
    <t>Q.TRON BLK M-G2+ 430</t>
  </si>
  <si>
    <t>Placeholder/current-market candidate; verify datasheet</t>
  </si>
  <si>
    <t>Canadian Solar</t>
  </si>
  <si>
    <t>HiKu6 455</t>
  </si>
  <si>
    <t>Silfab</t>
  </si>
  <si>
    <t>SIL-460/470</t>
  </si>
  <si>
    <t>Placeholder; verify exact model</t>
  </si>
  <si>
    <t>Trina</t>
  </si>
  <si>
    <t>Vertex S+ 455</t>
  </si>
  <si>
    <t>Chemistry</t>
  </si>
  <si>
    <t>Usable kWh</t>
  </si>
  <si>
    <t>Nominal V</t>
  </si>
  <si>
    <t>Capacity Ah</t>
  </si>
  <si>
    <t>Cont Charge A</t>
  </si>
  <si>
    <t>Cont Discharge A</t>
  </si>
  <si>
    <t>Peak A</t>
  </si>
  <si>
    <t>Closed Loop with Sol-Ark</t>
  </si>
  <si>
    <t>Comm/Interface</t>
  </si>
  <si>
    <t>Ballpark $/battery</t>
  </si>
  <si>
    <t>Discover</t>
  </si>
  <si>
    <t>LiFePO4</t>
  </si>
  <si>
    <t>Yes</t>
  </si>
  <si>
    <t>Closed-loop / LYNK or native per current integration</t>
  </si>
  <si>
    <t>Preferred current candidate; verify integration kit/firmware</t>
  </si>
  <si>
    <t>Pytes</t>
  </si>
  <si>
    <t>Pytes V16</t>
  </si>
  <si>
    <t>CAN/RS485</t>
  </si>
  <si>
    <t>Strong alternative; verify listing with installer</t>
  </si>
  <si>
    <t>HomeGrid</t>
  </si>
  <si>
    <t>Stack'd Series 19.2</t>
  </si>
  <si>
    <t>Expandable modular system</t>
  </si>
  <si>
    <t>Fortress</t>
  </si>
  <si>
    <t>eBoost 16</t>
  </si>
  <si>
    <t>Verify</t>
  </si>
  <si>
    <t>Replacement direction for eVault; verify Sol-Ark closed loop</t>
  </si>
  <si>
    <t>String IDs</t>
  </si>
  <si>
    <t>Split Banks</t>
  </si>
  <si>
    <t>Symmetric Pairing</t>
  </si>
  <si>
    <t>Future</t>
  </si>
  <si>
    <t>Unassigned</t>
  </si>
  <si>
    <t>DESIGN NOTES / CHANGE LOG</t>
  </si>
  <si>
    <t>Date/Version</t>
  </si>
  <si>
    <t>Decision</t>
  </si>
  <si>
    <t>Rationale</t>
  </si>
  <si>
    <t>v4.0</t>
  </si>
  <si>
    <t>Architecture</t>
  </si>
  <si>
    <t>Build page redesigned as command center</t>
  </si>
  <si>
    <t>User wants whole-picture design workflow instead of jumping across sheets</t>
  </si>
  <si>
    <t>Default 3×12 single mount</t>
  </si>
  <si>
    <t>Matches 36 panels, 6 strings, and compact footprint</t>
  </si>
  <si>
    <t>Stringing</t>
  </si>
  <si>
    <t>Default column-based strings</t>
  </si>
  <si>
    <t>East/west shadows should affect one string group at a time</t>
  </si>
  <si>
    <t>MPPT pairing</t>
  </si>
  <si>
    <t>S1+S6, S2+S5, S3+S4</t>
  </si>
  <si>
    <t>Symmetric pairing balances edge-shade impacts</t>
  </si>
  <si>
    <t>Equipment</t>
  </si>
  <si>
    <t>Sol-Ark 18K + REC 460 + Discover Helios x3</t>
  </si>
  <si>
    <t>Clean voltage/current fit and battery integration candidate</t>
  </si>
  <si>
    <t>v4.2 CSV Import Architecture</t>
  </si>
  <si>
    <t>Change</t>
  </si>
  <si>
    <t>Added CSV import architecture sheet and external CSV database package.</t>
  </si>
  <si>
    <t>Design Rule</t>
  </si>
  <si>
    <t>CSV files become authoritative data source; internal DB sheets are import targets for formulas.</t>
  </si>
  <si>
    <t>Limitation</t>
  </si>
  <si>
    <t>True open-on-startup import requires VBA/.xlsm or external refresh script; plain .xlsx cannot run code.</t>
  </si>
  <si>
    <t>Next</t>
  </si>
  <si>
    <t>Build numerical layout/shade engine using internal DB sheets after import workflow is validated.</t>
  </si>
  <si>
    <t>SDEP CSV Import Architecture</t>
  </si>
  <si>
    <t>Purpose</t>
  </si>
  <si>
    <t>Keep databases external as CSV files for version control, while importing them into internal DB_* sheets for formulas.</t>
  </si>
  <si>
    <t>Important</t>
  </si>
  <si>
    <t>Plain .xlsx files cannot execute code on workbook open. For true startup import, save as .xlsm and add the supplied VBA module.</t>
  </si>
  <si>
    <t>Current approach</t>
  </si>
  <si>
    <t>This workbook remains formula-driven using internal DB sheets. CSV files are authoritative source files.</t>
  </si>
  <si>
    <t>CSV File</t>
  </si>
  <si>
    <t>Target Sheet</t>
  </si>
  <si>
    <t>Import Range Start</t>
  </si>
  <si>
    <t>Data/Panels.csv</t>
  </si>
  <si>
    <t>DB_Panels</t>
  </si>
  <si>
    <t>A1</t>
  </si>
  <si>
    <t>Panel manufacturer/model/electrical/mechanical/cost data</t>
  </si>
  <si>
    <t>Data/Inverters.csv</t>
  </si>
  <si>
    <t>DB_Inverters</t>
  </si>
  <si>
    <t>Inverter limits and cost data</t>
  </si>
  <si>
    <t>Data/Batteries.csv</t>
  </si>
  <si>
    <t>DB_Batteries</t>
  </si>
  <si>
    <t>Battery electrical/physical/integration/cost data</t>
  </si>
  <si>
    <t>Data/Lists.csv</t>
  </si>
  <si>
    <t>DB_Lists</t>
  </si>
  <si>
    <t>Dropdown lists and lookup categories</t>
  </si>
  <si>
    <t>Recommended GitHub Layout</t>
  </si>
  <si>
    <t>Excel/Current/SDEP_v4_2_csv_import.xlsx</t>
  </si>
  <si>
    <t>Main workbook</t>
  </si>
  <si>
    <t>Data/*.csv</t>
  </si>
  <si>
    <t>Authoritative equipment databases</t>
  </si>
  <si>
    <t>Scripts/refresh_sdep_from_csv.py</t>
  </si>
  <si>
    <t>Manual/automated refresh utility</t>
  </si>
  <si>
    <t>VBA/ImportCsvOnOpen.bas</t>
  </si>
  <si>
    <t>Optional on-open macro implementation</t>
  </si>
  <si>
    <t>Workflow</t>
  </si>
  <si>
    <t>1. Edit CSV files in Data/.</t>
  </si>
  <si>
    <t>2. Run Scripts/refresh_sdep_from_csv.py or use the VBA macro in an .xlsm copy.</t>
  </si>
  <si>
    <t>3. Open workbook and verify Build/Dashboard outputs.</t>
  </si>
  <si>
    <t>4. Commit workbook + CSV changes to GitHub.</t>
  </si>
  <si>
    <t>MPPT Min V</t>
  </si>
  <si>
    <t>MPPT Max V</t>
  </si>
  <si>
    <t>PV Max Voc V</t>
  </si>
  <si>
    <t>Max Operating A/MPPT</t>
  </si>
  <si>
    <t>Max Isc A/MPPT</t>
  </si>
  <si>
    <t>Max PV kW</t>
  </si>
  <si>
    <t>AC Output kW</t>
  </si>
  <si>
    <t>Ballpark $</t>
  </si>
  <si>
    <t>Sol-Ark</t>
  </si>
  <si>
    <t>Use current Sol-Ark manual/datasheet for final design</t>
  </si>
  <si>
    <t>Sol-Ark 15K</t>
  </si>
  <si>
    <t>Older/common baseline; verify manual</t>
  </si>
  <si>
    <t>ID</t>
  </si>
  <si>
    <t>P000001</t>
  </si>
  <si>
    <t>P000002</t>
  </si>
  <si>
    <t>P000003</t>
  </si>
  <si>
    <t>P000004</t>
  </si>
  <si>
    <t>P000005</t>
  </si>
  <si>
    <t>I000001</t>
  </si>
  <si>
    <t>I000002</t>
  </si>
  <si>
    <t>B000001</t>
  </si>
  <si>
    <t>B000002</t>
  </si>
  <si>
    <t>B000003</t>
  </si>
  <si>
    <t>B000004</t>
  </si>
  <si>
    <t>Single Bank</t>
  </si>
  <si>
    <t>Panel ID</t>
  </si>
  <si>
    <t>Inverter ID</t>
  </si>
  <si>
    <t>Inverter Model</t>
  </si>
  <si>
    <t>Battery ID</t>
  </si>
  <si>
    <t>Battery Model</t>
  </si>
  <si>
    <t>Selected Panel ID</t>
  </si>
  <si>
    <t>Selected Inverter ID</t>
  </si>
  <si>
    <t>Selected Battery ID</t>
  </si>
  <si>
    <t>Design Min Temp °C</t>
  </si>
  <si>
    <t>Design Max Temp °C</t>
  </si>
  <si>
    <t>Cold String Vmp</t>
  </si>
  <si>
    <t>Hot String Vmp</t>
  </si>
  <si>
    <t>Nominal String Vmp (@25C)</t>
  </si>
  <si>
    <t>Panel Assignments</t>
  </si>
  <si>
    <t>Status Legend</t>
  </si>
  <si>
    <t>WARN</t>
  </si>
  <si>
    <t>FAIL</t>
  </si>
  <si>
    <t>Meaning</t>
  </si>
  <si>
    <t>Acion</t>
  </si>
  <si>
    <t>Design meets all requirements</t>
  </si>
  <si>
    <t>None</t>
  </si>
  <si>
    <t>Design is valid but deserves attention</t>
  </si>
  <si>
    <t>Review</t>
  </si>
  <si>
    <t>Correct before proceeding</t>
  </si>
  <si>
    <t>Design cannot be built or exceeds equipment/code limits</t>
  </si>
  <si>
    <t>Overall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</si>
</sst>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$#,##0"/>
    <numFmt numFmtId="166" formatCode="&quot;$&quot;#,##0.00"/>
  </numFmts>
  <fonts count="6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1"/>
      <name val="Carlito"/>
    </font>
    <font>
      <b/>
      <sz val="15"/>
      <color rgb="FFFFFFFF"/>
      <name val="Carlito"/>
    </font>
    <font>
      <b/>
      <sz val="14"/>
      <color rgb="FFFFFFFF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0F172A"/>
      </patternFill>
    </fill>
    <fill>
      <patternFill patternType="solid">
        <fgColor rgb="FF0F766E"/>
      </patternFill>
    </fill>
    <fill>
      <patternFill patternType="solid">
        <fgColor rgb="FFE2E8F0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DBEAFE"/>
      </patternFill>
    </fill>
    <fill>
      <patternFill patternType="solid">
        <fgColor rgb="FFDCFCE7"/>
      </patternFill>
    </fill>
    <fill>
      <patternFill patternType="solid">
        <fgColor rgb="FFFEF3C7"/>
      </patternFill>
    </fill>
    <fill>
      <patternFill patternType="solid">
        <fgColor rgb="FFEDE9FE"/>
      </patternFill>
    </fill>
    <fill>
      <patternFill patternType="solid">
        <fgColor rgb="FFFCE7F3"/>
      </patternFill>
    </fill>
    <fill>
      <patternFill patternType="solid">
        <fgColor rgb="FFCCFBF1"/>
      </patternFill>
    </fill>
    <fill>
      <patternFill patternType="solid">
        <fgColor rgb="FFF1F5F9"/>
      </patternFill>
    </fill>
    <fill>
      <patternFill patternType="solid">
        <fgColor rgb="FF1F4E78"/>
      </patternFill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14" borderId="0" xfId="0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2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  <xf numFmtId="9" fontId="0" fillId="0" borderId="0" xfId="0" applyNumberFormat="1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10" fontId="0" fillId="6" borderId="0" xfId="0" applyNumberFormat="1" applyFill="1" applyAlignment="1">
      <alignment vertical="center" wrapText="1"/>
    </xf>
    <xf numFmtId="165" fontId="0" fillId="6" borderId="0" xfId="0" applyNumberFormat="1" applyFill="1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1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16" borderId="0" xfId="0" applyFont="1" applyFill="1"/>
    <xf numFmtId="0" fontId="5" fillId="15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0" fontId="0" fillId="6" borderId="0" xfId="0" applyFill="1" applyAlignment="1" applyProtection="1">
      <alignment horizontal="left" vertical="center" wrapText="1"/>
      <protection locked="0"/>
    </xf>
    <xf numFmtId="2" fontId="0" fillId="6" borderId="0" xfId="0" applyNumberFormat="1" applyFill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top" wrapText="1"/>
      <protection locked="0"/>
    </xf>
    <xf numFmtId="0" fontId="0" fillId="0" borderId="0" xfId="0" applyProtection="1">
      <protection locked="0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0" fontId="0" fillId="0" borderId="0" xfId="0" applyProtection="1"/>
    <xf numFmtId="0" fontId="1" fillId="2" borderId="0" xfId="0" applyFont="1" applyFill="1" applyAlignment="1" applyProtection="1">
      <alignment vertical="center" wrapText="1"/>
    </xf>
    <xf numFmtId="0" fontId="1" fillId="7" borderId="0" xfId="0" applyFont="1" applyFill="1" applyAlignment="1" applyProtection="1">
      <alignment vertical="center" wrapText="1"/>
    </xf>
    <xf numFmtId="0" fontId="0" fillId="0" borderId="0" xfId="0" applyAlignment="1" applyProtection="1">
      <alignment horizontal="left" vertical="center" wrapText="1"/>
    </xf>
    <xf numFmtId="0" fontId="1" fillId="4" borderId="0" xfId="0" applyFont="1" applyFill="1" applyAlignment="1" applyProtection="1">
      <alignment vertical="center" wrapText="1"/>
    </xf>
    <xf numFmtId="0" fontId="1" fillId="4" borderId="0" xfId="0" applyFont="1" applyFill="1" applyAlignment="1" applyProtection="1">
      <alignment horizontal="center" vertical="center" wrapText="1"/>
    </xf>
    <xf numFmtId="0" fontId="3" fillId="5" borderId="0" xfId="0" applyFont="1" applyFill="1" applyAlignment="1" applyProtection="1">
      <alignment vertical="center" wrapText="1"/>
    </xf>
    <xf numFmtId="0" fontId="0" fillId="6" borderId="0" xfId="0" applyFill="1" applyAlignment="1" applyProtection="1">
      <alignment horizontal="left" vertical="center" wrapText="1"/>
    </xf>
    <xf numFmtId="164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166" fontId="0" fillId="6" borderId="0" xfId="0" applyNumberFormat="1" applyFill="1" applyAlignment="1" applyProtection="1">
      <alignment horizontal="left" vertical="center" wrapText="1"/>
    </xf>
    <xf numFmtId="0" fontId="1" fillId="4" borderId="0" xfId="0" applyFont="1" applyFill="1" applyAlignment="1" applyProtection="1">
      <alignment horizontal="left" vertical="center" wrapText="1"/>
    </xf>
    <xf numFmtId="0" fontId="0" fillId="0" borderId="0" xfId="0" applyAlignment="1" applyProtection="1">
      <alignment horizontal="left" wrapText="1"/>
    </xf>
    <xf numFmtId="0" fontId="0" fillId="0" borderId="0" xfId="0" applyAlignment="1" applyProtection="1">
      <alignment wrapText="1"/>
    </xf>
    <xf numFmtId="2" fontId="0" fillId="6" borderId="0" xfId="0" applyNumberFormat="1" applyFill="1" applyAlignment="1" applyProtection="1">
      <alignment horizontal="left" vertical="center" wrapText="1"/>
    </xf>
    <xf numFmtId="0" fontId="1" fillId="2" borderId="0" xfId="0" applyFont="1" applyFill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0" fontId="3" fillId="8" borderId="0" xfId="0" applyFont="1" applyFill="1" applyAlignment="1" applyProtection="1">
      <alignment horizontal="center" vertical="center" wrapText="1"/>
    </xf>
    <xf numFmtId="0" fontId="3" fillId="9" borderId="0" xfId="0" applyFont="1" applyFill="1" applyAlignment="1" applyProtection="1">
      <alignment horizontal="center" vertical="center" wrapText="1"/>
    </xf>
    <xf numFmtId="0" fontId="3" fillId="10" borderId="0" xfId="0" applyFont="1" applyFill="1" applyAlignment="1" applyProtection="1">
      <alignment horizontal="center" vertical="center" wrapText="1"/>
    </xf>
    <xf numFmtId="0" fontId="3" fillId="11" borderId="0" xfId="0" applyFont="1" applyFill="1" applyAlignment="1" applyProtection="1">
      <alignment horizontal="center" vertical="center" wrapText="1"/>
    </xf>
    <xf numFmtId="0" fontId="3" fillId="12" borderId="0" xfId="0" applyFont="1" applyFill="1" applyAlignment="1" applyProtection="1">
      <alignment horizontal="center" vertical="center" wrapText="1"/>
    </xf>
    <xf numFmtId="0" fontId="3" fillId="13" borderId="0" xfId="0" applyFont="1" applyFill="1" applyAlignment="1" applyProtection="1">
      <alignment horizontal="center" vertical="center" wrapText="1"/>
    </xf>
    <xf numFmtId="0" fontId="0" fillId="14" borderId="0" xfId="0" applyFill="1" applyAlignment="1" applyProtection="1">
      <alignment vertical="center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19"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80"/>
  <sheetViews>
    <sheetView workbookViewId="0">
      <selection activeCell="B13" sqref="B13"/>
    </sheetView>
  </sheetViews>
  <sheetFormatPr defaultColWidth="25" defaultRowHeight="14.25"/>
  <cols>
    <col min="2" max="2" width="29.5" style="27" customWidth="1"/>
    <col min="4" max="4" width="28" customWidth="1"/>
  </cols>
  <sheetData>
    <row r="1" spans="1:17" ht="75" customHeight="1">
      <c r="A1" s="41" t="s">
        <v>0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22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5">
      <c r="A3" s="10" t="s">
        <v>1</v>
      </c>
      <c r="B3" s="22"/>
      <c r="C3" s="11" t="s">
        <v>2</v>
      </c>
      <c r="E3" s="5"/>
      <c r="F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3</v>
      </c>
      <c r="B4" s="23" t="str">
        <f>'02_Build'!B4</f>
        <v>44755 Savage Rd, Coarsegold CA</v>
      </c>
      <c r="C4" s="6" t="s">
        <v>4</v>
      </c>
      <c r="D4" s="5" t="str">
        <f>'02_Build'!F20</f>
        <v>PASS</v>
      </c>
      <c r="F4" s="5"/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5</v>
      </c>
      <c r="B5" s="23" t="str">
        <f>'02_Build'!B5</f>
        <v>REC Alpha Pure-RX 460</v>
      </c>
      <c r="C5" s="6" t="s">
        <v>6</v>
      </c>
      <c r="D5" s="5" t="s">
        <v>7</v>
      </c>
      <c r="F5" s="5"/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8</v>
      </c>
      <c r="B6" s="23" t="str">
        <f>'02_Build'!B6</f>
        <v>Sol-Ark 18K-2P-LV</v>
      </c>
      <c r="C6" s="6" t="s">
        <v>9</v>
      </c>
      <c r="D6" s="5" t="s">
        <v>10</v>
      </c>
      <c r="F6" s="5"/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11</v>
      </c>
      <c r="B7" s="23" t="str">
        <f>'02_Build'!B7</f>
        <v>Discover Helios ESS</v>
      </c>
      <c r="C7" s="6" t="s">
        <v>12</v>
      </c>
      <c r="D7" s="5" t="s">
        <v>13</v>
      </c>
      <c r="F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</v>
      </c>
      <c r="B8" s="23">
        <f>'02_Build'!B8</f>
        <v>3</v>
      </c>
      <c r="C8" s="6" t="s">
        <v>15</v>
      </c>
      <c r="D8" s="5" t="s">
        <v>16</v>
      </c>
      <c r="F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17</v>
      </c>
      <c r="B9" s="23" t="str">
        <f>'02_Build'!B11&amp;"×"&amp;'02_Build'!B12&amp;" "&amp;'02_Build'!B9&amp;" x"&amp;'02_Build'!B13&amp;" "&amp;'02_Build'!B10</f>
        <v>3×12 Portrait x1 Single Bank</v>
      </c>
      <c r="C9" s="6" t="s">
        <v>18</v>
      </c>
      <c r="D9" s="5" t="s">
        <v>19</v>
      </c>
      <c r="F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20</v>
      </c>
      <c r="B10" s="23">
        <f>'02_Build'!F5</f>
        <v>16.559999999999999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21</v>
      </c>
      <c r="B11" s="23">
        <f>'02_Build'!F11</f>
        <v>48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22</v>
      </c>
      <c r="B12" s="25">
        <f>'02_Build'!F12</f>
        <v>49432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15">
      <c r="A13" s="6" t="s">
        <v>23</v>
      </c>
      <c r="B13" s="23" t="str">
        <f>'02_Build'!F20</f>
        <v>PASS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2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22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2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>
      <c r="A18" s="5"/>
      <c r="B18" s="2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2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2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2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2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2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2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2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2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2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2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2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2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2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2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2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2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2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2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2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2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2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2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2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2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2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2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2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2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2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2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2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2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26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26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26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26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26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26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26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26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26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26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26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26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2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26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D1"/>
  </mergeCells>
  <conditionalFormatting sqref="B13 D4">
    <cfRule type="cellIs" dxfId="4" priority="1" operator="equal">
      <formula>"CHECK"</formula>
    </cfRule>
    <cfRule type="cellIs" dxfId="3" priority="2" operator="equal">
      <formula>"PASS"</formula>
    </cfRule>
  </conditionalFormatting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Q83"/>
  <sheetViews>
    <sheetView tabSelected="1" workbookViewId="0">
      <selection activeCell="B17" sqref="B17"/>
    </sheetView>
  </sheetViews>
  <sheetFormatPr defaultColWidth="21" defaultRowHeight="14.25"/>
  <cols>
    <col min="1" max="12" width="26.375" style="49" customWidth="1"/>
    <col min="13" max="16384" width="21" style="49"/>
  </cols>
  <sheetData>
    <row r="1" spans="1:17" ht="75" customHeight="1">
      <c r="A1" s="46" t="s">
        <v>24</v>
      </c>
      <c r="B1" s="47"/>
      <c r="C1" s="47"/>
      <c r="D1" s="47"/>
      <c r="E1" s="47"/>
      <c r="F1" s="47"/>
      <c r="G1" s="47"/>
      <c r="H1" s="47"/>
      <c r="I1" s="47"/>
      <c r="J1" s="47"/>
      <c r="K1" s="48"/>
      <c r="L1" s="48"/>
      <c r="M1" s="48"/>
      <c r="N1" s="48"/>
      <c r="O1" s="48"/>
      <c r="P1" s="48"/>
      <c r="Q1" s="48"/>
    </row>
    <row r="2" spans="1:17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</row>
    <row r="3" spans="1:17" ht="15">
      <c r="A3" s="50" t="s">
        <v>25</v>
      </c>
      <c r="B3" s="48"/>
      <c r="C3" s="51" t="s">
        <v>26</v>
      </c>
      <c r="D3" s="52"/>
      <c r="E3" s="53" t="s">
        <v>27</v>
      </c>
      <c r="F3" s="52"/>
      <c r="G3" s="53" t="s">
        <v>28</v>
      </c>
      <c r="H3" s="54" t="s">
        <v>29</v>
      </c>
      <c r="I3" s="54" t="s">
        <v>30</v>
      </c>
      <c r="J3" s="54" t="s">
        <v>31</v>
      </c>
      <c r="M3" s="48"/>
      <c r="P3" s="48"/>
      <c r="Q3" s="48"/>
    </row>
    <row r="4" spans="1:17" ht="15" customHeight="1">
      <c r="A4" s="55" t="s">
        <v>3</v>
      </c>
      <c r="B4" s="39" t="s">
        <v>32</v>
      </c>
      <c r="C4" s="55" t="s">
        <v>33</v>
      </c>
      <c r="D4" s="52" cm="1">
        <f t="array" ref="D4">PanelWattsByID(SelectedPanelID)</f>
        <v>460</v>
      </c>
      <c r="E4" s="55" t="s">
        <v>34</v>
      </c>
      <c r="F4" s="56" cm="1">
        <f t="array" ref="F4">DesignTotalPanels()</f>
        <v>36</v>
      </c>
      <c r="G4" s="55" t="s">
        <v>339</v>
      </c>
      <c r="H4" s="57" cm="1">
        <f t="array" ref="H4">modWorkbookCalcs.HotStringVmp()</f>
        <v>281.96640000000002</v>
      </c>
      <c r="I4" s="57" t="str" cm="1">
        <f t="array" ref="I4">"&gt;= "&amp;modWorkBookLayout.EquipmentInvMpptMin()&amp;" V"</f>
        <v>&gt;= 150 V</v>
      </c>
      <c r="J4" s="58" t="str" cm="1">
        <f t="array" ref="J4">modWorkbookCalcs.HotVmpStatus()</f>
        <v>PASS</v>
      </c>
      <c r="M4" s="48"/>
      <c r="P4" s="48"/>
      <c r="Q4" s="48"/>
    </row>
    <row r="5" spans="1:17" ht="15" customHeight="1">
      <c r="A5" s="55" t="s">
        <v>35</v>
      </c>
      <c r="B5" s="37" t="s">
        <v>36</v>
      </c>
      <c r="C5" s="55" t="s">
        <v>37</v>
      </c>
      <c r="D5" s="52" cm="1">
        <f t="array" ref="D5">PanelVocByID(SelectedPanelID)</f>
        <v>65.7</v>
      </c>
      <c r="E5" s="55" t="s">
        <v>20</v>
      </c>
      <c r="F5" s="56" cm="1">
        <f t="array" ref="F5">LiveArrayKw()</f>
        <v>16.559999999999999</v>
      </c>
      <c r="G5" s="55" t="s">
        <v>340</v>
      </c>
      <c r="H5" s="57" cm="1">
        <f t="array" ref="H5">modWorkbookLayout.LiveNormalStringVmp()</f>
        <v>329.4</v>
      </c>
      <c r="I5" s="57" t="str" cm="1">
        <f t="array" ref="I5">modWorkBookLayout.EquipmentInvMpptMin()&amp;"–"&amp;modWorkBookLayout.EquipmentInvMpptMax()&amp;" V"</f>
        <v>150–425 V</v>
      </c>
      <c r="J5" s="58" t="str" cm="1">
        <f t="array" ref="J5">modWorkbookCalcs.NominalVmpStatus()</f>
        <v>PASS</v>
      </c>
      <c r="M5" s="48"/>
      <c r="P5" s="48"/>
      <c r="Q5" s="48"/>
    </row>
    <row r="6" spans="1:17" ht="15" customHeight="1">
      <c r="A6" s="55" t="s">
        <v>8</v>
      </c>
      <c r="B6" s="37" t="s">
        <v>39</v>
      </c>
      <c r="C6" s="55" t="s">
        <v>40</v>
      </c>
      <c r="D6" s="52" cm="1">
        <f t="array" ref="D6">PanelVmpByID(SelectedPanelID)</f>
        <v>54.9</v>
      </c>
      <c r="E6" s="55" t="s">
        <v>340</v>
      </c>
      <c r="F6" s="56" cm="1">
        <f t="array" ref="F6">modWorkbookCalcs.LiveNormalStringVmp()</f>
        <v>329.4</v>
      </c>
      <c r="G6" s="55" t="s">
        <v>338</v>
      </c>
      <c r="H6" s="57" cm="1">
        <f t="array" ref="H6">modWorkbookCalcs.ColdStringVmp()</f>
        <v>380.78639999999996</v>
      </c>
      <c r="I6" s="57" t="str" cm="1">
        <f t="array" ref="I6">"&lt;= "&amp;modWorkBookLayout.EquipmentInvMpptMax()&amp;" V"</f>
        <v>&lt;= 425 V</v>
      </c>
      <c r="J6" s="58" t="str" cm="1">
        <f t="array" ref="J6">modWorkbookCalcs.ColdVmpStatus()</f>
        <v>PASS</v>
      </c>
      <c r="M6" s="48"/>
      <c r="P6" s="48"/>
      <c r="Q6" s="48"/>
    </row>
    <row r="7" spans="1:17" ht="15" customHeight="1">
      <c r="A7" s="55" t="s">
        <v>11</v>
      </c>
      <c r="B7" s="37" t="s">
        <v>42</v>
      </c>
      <c r="C7" s="55" t="s">
        <v>43</v>
      </c>
      <c r="D7" s="52" cm="1">
        <f t="array" ref="D7">PanelIscByID(SelectedPanelID)</f>
        <v>8.8800000000000008</v>
      </c>
      <c r="E7" s="55" t="s">
        <v>44</v>
      </c>
      <c r="F7" s="56" cm="1">
        <f t="array" ref="F7">ColdStringVoc()</f>
        <v>455.6952</v>
      </c>
      <c r="G7" s="55" t="s">
        <v>38</v>
      </c>
      <c r="H7" s="57" cm="1">
        <f t="array" ref="H7">modworkbooklayout.LiveColdStringVoc()</f>
        <v>455.6952</v>
      </c>
      <c r="I7" s="57" t="str" cm="1">
        <f t="array" ref="I7">"&lt; "&amp;modWorkBookLayout.EquipmentInvVocMax()&amp;" V"</f>
        <v>&lt; 500 V</v>
      </c>
      <c r="J7" s="58" t="str" cm="1">
        <f t="array" ref="J7">modWorkbookCalcs.ColdVocStatus()</f>
        <v>PASS</v>
      </c>
      <c r="M7" s="48"/>
      <c r="P7" s="48"/>
      <c r="Q7" s="48"/>
    </row>
    <row r="8" spans="1:17" ht="15" customHeight="1">
      <c r="A8" s="55" t="s">
        <v>14</v>
      </c>
      <c r="B8" s="37">
        <v>3</v>
      </c>
      <c r="C8" s="55" t="s">
        <v>46</v>
      </c>
      <c r="D8" s="52" cm="1">
        <f t="array" ref="D8">PanelImpByID(SelectedPanelID)</f>
        <v>8.3800000000000008</v>
      </c>
      <c r="E8" s="55" t="s">
        <v>47</v>
      </c>
      <c r="F8" s="56" cm="1">
        <f t="array" ref="F8">modWorkbookCalcs.LiveMpptOpA()</f>
        <v>16.760000000000002</v>
      </c>
      <c r="G8" s="55" t="s">
        <v>41</v>
      </c>
      <c r="H8" s="57" cm="1">
        <f t="array" ref="H8">modWorkbookLayout.LiveMpptOpA()</f>
        <v>16.760000000000002</v>
      </c>
      <c r="I8" s="57" t="str" cm="1">
        <f t="array" ref="I8">"&lt; "&amp;modWorkBookLayout.EquipmentInvOpAMax()&amp;" A"</f>
        <v>&lt; 36 A</v>
      </c>
      <c r="J8" s="58" t="str" cm="1">
        <f t="array" ref="J8">modWorkbookCalcs.MpptOpAStatus()</f>
        <v>PASS</v>
      </c>
      <c r="M8" s="48"/>
      <c r="P8" s="48"/>
      <c r="Q8" s="48"/>
    </row>
    <row r="9" spans="1:17" ht="15" customHeight="1">
      <c r="A9" s="55" t="s">
        <v>49</v>
      </c>
      <c r="B9" s="37" t="s">
        <v>50</v>
      </c>
      <c r="C9" s="55" t="s">
        <v>51</v>
      </c>
      <c r="D9" s="52" cm="1">
        <f t="array" ref="D9">PanelVocTempCoeffByID(SelectedPanelID)</f>
        <v>-0.24</v>
      </c>
      <c r="E9" s="55" t="s">
        <v>52</v>
      </c>
      <c r="F9" s="56" cm="1">
        <f t="array" ref="F9">modWorkbookCalcs.LiveMpptScA()</f>
        <v>17.760000000000002</v>
      </c>
      <c r="G9" s="55" t="s">
        <v>45</v>
      </c>
      <c r="H9" s="57" cm="1">
        <f t="array" ref="H9">modWorkbookLayout.LiveMpptScA()</f>
        <v>17.760000000000002</v>
      </c>
      <c r="I9" s="57" t="str" cm="1">
        <f t="array" ref="I9">"&lt; "&amp;modWorkBookLayout.EquipmentInvIscMax()&amp;" A"</f>
        <v>&lt; 54 A</v>
      </c>
      <c r="J9" s="58" t="str" cm="1">
        <f t="array" ref="J9">modWorkbookCalcs.MpptScAStatus()</f>
        <v>PASS</v>
      </c>
      <c r="M9" s="48"/>
      <c r="P9" s="48"/>
      <c r="Q9" s="48"/>
    </row>
    <row r="10" spans="1:17" ht="15">
      <c r="A10" s="55" t="s">
        <v>53</v>
      </c>
      <c r="B10" s="37" t="s">
        <v>327</v>
      </c>
      <c r="C10" s="55" t="s">
        <v>54</v>
      </c>
      <c r="D10" s="52" cm="1">
        <f t="array" ref="D10">PanelLengthFtByID(SelectedPanelID)</f>
        <v>5.6692913385826769</v>
      </c>
      <c r="E10" s="55" t="s">
        <v>55</v>
      </c>
      <c r="F10" s="56" cm="1">
        <f t="array" ref="F10">PowerMpptKw()</f>
        <v>5.5207439999999997</v>
      </c>
      <c r="G10" s="55" t="s">
        <v>48</v>
      </c>
      <c r="H10" s="57" cm="1">
        <f t="array" ref="H10">modWorkbookLayout.DesignTotalStrings()/modWorkbookLayout.DesignStringsPerMppt()</f>
        <v>3</v>
      </c>
      <c r="I10" s="57" t="str" cm="1">
        <f t="array" ref="I10">"&lt;= "&amp;modWorkbookLayout.EquipmentInvMpptCount()</f>
        <v>&lt;= 3</v>
      </c>
      <c r="J10" s="58" t="str" cm="1">
        <f t="array" ref="J10">modWorkbookCalcs.MpptCountStatus()</f>
        <v>PASS</v>
      </c>
      <c r="K10" s="48"/>
      <c r="L10" s="48"/>
      <c r="M10" s="48"/>
      <c r="P10" s="48"/>
      <c r="Q10" s="48"/>
    </row>
    <row r="11" spans="1:17" ht="15">
      <c r="A11" s="55" t="s">
        <v>56</v>
      </c>
      <c r="B11" s="37">
        <v>3</v>
      </c>
      <c r="C11" s="55" t="s">
        <v>57</v>
      </c>
      <c r="D11" s="52" cm="1">
        <f t="array" ref="D11">PanelWidthFtByID(SelectedPanelID)</f>
        <v>3.9534120734908136</v>
      </c>
      <c r="E11" s="55" t="s">
        <v>21</v>
      </c>
      <c r="F11" s="56" cm="1">
        <f t="array" ref="F11">LiveBatteryKw()</f>
        <v>48</v>
      </c>
      <c r="G11" s="55" t="s">
        <v>341</v>
      </c>
      <c r="H11" s="57" cm="1">
        <f t="array" ref="H11">ElectricalPanelCount()</f>
        <v>36</v>
      </c>
      <c r="I11" s="57" t="str" cm="1">
        <f t="array" ref="I11">"= "&amp;modWorkbookLayout.LivePanelQty()</f>
        <v>= 36</v>
      </c>
      <c r="J11" s="58" t="str" cm="1">
        <f t="array" ref="J11">modWorkbookCalcs.PanelCountStatus()</f>
        <v>PASS</v>
      </c>
      <c r="K11" s="48"/>
      <c r="L11" s="48"/>
      <c r="M11" s="48"/>
      <c r="P11" s="48"/>
      <c r="Q11" s="48"/>
    </row>
    <row r="12" spans="1:17" ht="15">
      <c r="A12" s="55" t="s">
        <v>58</v>
      </c>
      <c r="B12" s="37">
        <v>12</v>
      </c>
      <c r="C12" s="55" t="s">
        <v>59</v>
      </c>
      <c r="D12" s="52" cm="1">
        <f t="array" ref="D12">PanelBallparkCostByID(SelectedPanelID)</f>
        <v>412</v>
      </c>
      <c r="E12" s="55" t="s">
        <v>22</v>
      </c>
      <c r="F12" s="59" cm="1">
        <f t="array" ref="F12">EstimatedEquipmentCost()</f>
        <v>49432</v>
      </c>
      <c r="H12" s="48"/>
      <c r="I12" s="48"/>
      <c r="J12" s="48"/>
      <c r="K12" s="48"/>
      <c r="L12" s="48"/>
      <c r="M12" s="48"/>
      <c r="P12" s="48"/>
      <c r="Q12" s="48"/>
    </row>
    <row r="13" spans="1:17" ht="15">
      <c r="A13" s="55" t="s">
        <v>60</v>
      </c>
      <c r="B13" s="37">
        <v>1</v>
      </c>
      <c r="C13" s="55" t="s">
        <v>61</v>
      </c>
      <c r="D13" s="52" cm="1">
        <f t="array" ref="D13">InverterMpptMinV(SelectedInverterID)</f>
        <v>150</v>
      </c>
      <c r="E13" s="55" t="s">
        <v>62</v>
      </c>
      <c r="F13" s="59" cm="1">
        <f t="array" ref="F13">CostPerDcWatt()</f>
        <v>2.9850241545893721</v>
      </c>
      <c r="H13" s="48"/>
      <c r="I13" s="48"/>
      <c r="J13" s="48"/>
      <c r="K13" s="48"/>
      <c r="L13" s="48"/>
      <c r="M13" s="48"/>
      <c r="P13" s="48"/>
      <c r="Q13" s="48"/>
    </row>
    <row r="14" spans="1:17" ht="15">
      <c r="A14" s="55" t="s">
        <v>63</v>
      </c>
      <c r="B14" s="37">
        <v>37</v>
      </c>
      <c r="C14" s="55" t="s">
        <v>64</v>
      </c>
      <c r="D14" s="52" cm="1">
        <f t="array" ref="D14">InverterMpptMaxV(SelectedInverterID)</f>
        <v>425</v>
      </c>
      <c r="E14" s="55" t="s">
        <v>57</v>
      </c>
      <c r="F14" s="56" cm="1">
        <f t="array" ref="F14">EquipmentPanelWidth()</f>
        <v>3.9534120734908136</v>
      </c>
      <c r="H14" s="48"/>
      <c r="I14" s="48"/>
      <c r="J14" s="48"/>
      <c r="K14" s="48"/>
      <c r="L14" s="48"/>
      <c r="M14" s="48"/>
      <c r="P14" s="48"/>
      <c r="Q14" s="48"/>
    </row>
    <row r="15" spans="1:17" ht="15">
      <c r="A15" s="55" t="s">
        <v>65</v>
      </c>
      <c r="B15" s="37">
        <v>180</v>
      </c>
      <c r="C15" s="55" t="s">
        <v>66</v>
      </c>
      <c r="D15" s="52" cm="1">
        <f t="array" ref="D15">InverterMaxVoc(SelectedInverterID)</f>
        <v>500</v>
      </c>
      <c r="E15" s="55" t="s">
        <v>54</v>
      </c>
      <c r="F15" s="56" cm="1">
        <f t="array" ref="F15">EquipmentPanelLength()</f>
        <v>5.6692913385826769</v>
      </c>
      <c r="H15" s="48"/>
      <c r="I15" s="48"/>
      <c r="J15" s="48"/>
      <c r="K15" s="48"/>
      <c r="L15" s="48"/>
      <c r="M15" s="48"/>
      <c r="P15" s="48"/>
      <c r="Q15" s="48"/>
    </row>
    <row r="16" spans="1:17" ht="15">
      <c r="A16" s="55" t="s">
        <v>336</v>
      </c>
      <c r="B16" s="37">
        <v>-40</v>
      </c>
      <c r="C16" s="55" t="s">
        <v>67</v>
      </c>
      <c r="D16" s="52" cm="1">
        <f t="array" ref="D16">InverterMaxOperatingCurrent(SelectedInverterID)</f>
        <v>36</v>
      </c>
      <c r="E16" s="55" t="s">
        <v>68</v>
      </c>
      <c r="F16" s="56" cm="1">
        <f t="array" ref="F16">ArrayWidth()</f>
        <v>47.440944881889763</v>
      </c>
      <c r="K16" s="48"/>
      <c r="L16" s="48"/>
      <c r="M16" s="48"/>
      <c r="P16" s="48"/>
      <c r="Q16" s="48"/>
    </row>
    <row r="17" spans="1:17" ht="15">
      <c r="A17" s="55" t="s">
        <v>337</v>
      </c>
      <c r="B17" s="37">
        <v>85</v>
      </c>
      <c r="C17" s="55" t="s">
        <v>70</v>
      </c>
      <c r="D17" s="52" cm="1">
        <f t="array" ref="D17">InverterMaxIsc(SelectedInverterID)</f>
        <v>54</v>
      </c>
      <c r="E17" s="55" t="s">
        <v>71</v>
      </c>
      <c r="F17" s="56" cm="1">
        <f t="array" ref="F17">ArrayHeight()</f>
        <v>17.00787401574803</v>
      </c>
      <c r="K17" s="48"/>
      <c r="L17" s="48"/>
      <c r="M17" s="48"/>
      <c r="P17" s="48"/>
      <c r="Q17" s="48"/>
    </row>
    <row r="18" spans="1:17" ht="15">
      <c r="A18" s="55" t="s">
        <v>69</v>
      </c>
      <c r="B18" s="37">
        <v>6</v>
      </c>
      <c r="C18" s="55" t="s">
        <v>73</v>
      </c>
      <c r="D18" s="52" cm="1">
        <f t="array" ref="D18">InverterMpptCount(SelectedInverterID)</f>
        <v>3</v>
      </c>
      <c r="E18" s="55" t="s">
        <v>74</v>
      </c>
      <c r="F18" s="56" cm="1">
        <f t="array" ref="F18">GroundDepth()</f>
        <v>13.583092139387027</v>
      </c>
      <c r="H18" s="60" t="s">
        <v>342</v>
      </c>
      <c r="I18" s="60" t="s">
        <v>345</v>
      </c>
      <c r="J18" s="60" t="s">
        <v>346</v>
      </c>
      <c r="K18" s="48"/>
      <c r="L18" s="48"/>
      <c r="M18" s="48"/>
      <c r="P18" s="48"/>
      <c r="Q18" s="48"/>
    </row>
    <row r="19" spans="1:17" ht="15">
      <c r="A19" s="55" t="s">
        <v>72</v>
      </c>
      <c r="B19" s="37">
        <v>6</v>
      </c>
      <c r="C19" s="55" t="s">
        <v>76</v>
      </c>
      <c r="D19" s="52" cm="1">
        <f t="array" ref="D19">InverterBallparkCost(SelectedInverterID)</f>
        <v>7900</v>
      </c>
      <c r="E19" s="55" t="s">
        <v>77</v>
      </c>
      <c r="F19" s="56" cm="1">
        <f t="array" ref="F19">RearEdgeRise()</f>
        <v>10.235594094554521</v>
      </c>
      <c r="H19" s="52" t="s">
        <v>168</v>
      </c>
      <c r="I19" s="61" t="s">
        <v>347</v>
      </c>
      <c r="J19" s="52" t="s">
        <v>348</v>
      </c>
      <c r="K19" s="48"/>
      <c r="L19" s="48"/>
      <c r="M19" s="48"/>
      <c r="P19" s="48"/>
      <c r="Q19" s="48"/>
    </row>
    <row r="20" spans="1:17" ht="28.5">
      <c r="A20" s="55" t="s">
        <v>75</v>
      </c>
      <c r="B20" s="37">
        <v>2</v>
      </c>
      <c r="C20" s="55" t="s">
        <v>80</v>
      </c>
      <c r="D20" s="52" cm="1">
        <f t="array" ref="D20">BatteryUsableKwh(SelectedBatteryID)</f>
        <v>16</v>
      </c>
      <c r="E20" s="55" t="s">
        <v>353</v>
      </c>
      <c r="F20" s="56" t="str" cm="1">
        <f t="array" ref="F20">ElectricalStatus()</f>
        <v>PASS</v>
      </c>
      <c r="H20" s="52" t="s">
        <v>343</v>
      </c>
      <c r="I20" s="61" t="s">
        <v>349</v>
      </c>
      <c r="J20" s="52" t="s">
        <v>350</v>
      </c>
      <c r="K20" s="48"/>
      <c r="L20" s="48"/>
      <c r="M20" s="48"/>
      <c r="P20" s="48"/>
      <c r="Q20" s="48"/>
    </row>
    <row r="21" spans="1:17" ht="28.5" customHeight="1">
      <c r="A21" s="55" t="s">
        <v>78</v>
      </c>
      <c r="B21" s="37" t="s">
        <v>235</v>
      </c>
      <c r="C21" s="55" t="s">
        <v>82</v>
      </c>
      <c r="D21" s="52" cm="1">
        <f t="array" ref="D21">BatteryBallparkCost(SelectedBatteryID)</f>
        <v>4900</v>
      </c>
      <c r="E21" s="55" t="s">
        <v>83</v>
      </c>
      <c r="F21" s="56" t="str" cm="1">
        <f t="array" ref="F21">LayoutNote()</f>
        <v>Row spacing N/A - single structure</v>
      </c>
      <c r="H21" s="52" t="s">
        <v>344</v>
      </c>
      <c r="I21" s="73" t="s">
        <v>352</v>
      </c>
      <c r="J21" s="52" t="s">
        <v>351</v>
      </c>
      <c r="K21" s="48"/>
      <c r="L21" s="48"/>
      <c r="M21" s="48"/>
      <c r="P21" s="48"/>
      <c r="Q21" s="48"/>
    </row>
    <row r="22" spans="1:17" ht="15">
      <c r="A22" s="55" t="s">
        <v>81</v>
      </c>
      <c r="B22" s="38">
        <v>12000</v>
      </c>
      <c r="C22" s="55"/>
      <c r="D22" s="52"/>
      <c r="E22" s="55"/>
      <c r="H22" s="48"/>
      <c r="I22" s="48"/>
      <c r="J22" s="48"/>
      <c r="K22" s="48"/>
      <c r="L22" s="48"/>
      <c r="M22" s="48"/>
      <c r="P22" s="48"/>
      <c r="Q22" s="48"/>
    </row>
    <row r="23" spans="1:17" ht="15">
      <c r="A23" s="55"/>
      <c r="B23" s="40"/>
      <c r="C23" s="55"/>
      <c r="D23" s="52"/>
      <c r="E23" s="55"/>
      <c r="H23" s="48"/>
      <c r="I23" s="48"/>
      <c r="J23" s="48"/>
      <c r="K23" s="48"/>
      <c r="L23" s="48"/>
      <c r="M23" s="48"/>
      <c r="P23" s="48"/>
      <c r="Q23" s="48"/>
    </row>
    <row r="24" spans="1:17" ht="15">
      <c r="A24" s="55"/>
      <c r="B24" s="63"/>
      <c r="C24" s="55"/>
      <c r="D24" s="52"/>
      <c r="E24" s="55"/>
      <c r="F24" s="56"/>
      <c r="H24" s="48"/>
      <c r="I24" s="48"/>
      <c r="J24" s="48"/>
      <c r="K24" s="48"/>
      <c r="L24" s="48"/>
      <c r="M24" s="48"/>
      <c r="P24" s="48"/>
      <c r="Q24" s="48"/>
    </row>
    <row r="25" spans="1:17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</row>
    <row r="26" spans="1:17">
      <c r="A26" s="64" t="s">
        <v>84</v>
      </c>
      <c r="B26" s="65"/>
      <c r="C26" s="65"/>
      <c r="D26" s="65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</row>
    <row r="27" spans="1:17" ht="32.1" customHeight="1">
      <c r="A27" s="66" t="s">
        <v>85</v>
      </c>
      <c r="B27" s="66" t="s">
        <v>85</v>
      </c>
      <c r="C27" s="67" t="s">
        <v>86</v>
      </c>
      <c r="D27" s="67" t="s">
        <v>86</v>
      </c>
      <c r="E27" s="68" t="s">
        <v>87</v>
      </c>
      <c r="F27" s="68" t="s">
        <v>87</v>
      </c>
      <c r="G27" s="69" t="s">
        <v>88</v>
      </c>
      <c r="H27" s="69" t="s">
        <v>88</v>
      </c>
      <c r="I27" s="70" t="s">
        <v>89</v>
      </c>
      <c r="J27" s="70" t="s">
        <v>89</v>
      </c>
      <c r="K27" s="71" t="s">
        <v>90</v>
      </c>
      <c r="L27" s="71" t="s">
        <v>90</v>
      </c>
      <c r="M27" s="48"/>
    </row>
    <row r="28" spans="1:17" ht="32.1" customHeight="1">
      <c r="A28" s="66" t="s">
        <v>85</v>
      </c>
      <c r="B28" s="66" t="s">
        <v>85</v>
      </c>
      <c r="C28" s="67" t="s">
        <v>86</v>
      </c>
      <c r="D28" s="67" t="s">
        <v>86</v>
      </c>
      <c r="E28" s="68" t="s">
        <v>87</v>
      </c>
      <c r="F28" s="68" t="s">
        <v>87</v>
      </c>
      <c r="G28" s="69" t="s">
        <v>88</v>
      </c>
      <c r="H28" s="69" t="s">
        <v>88</v>
      </c>
      <c r="I28" s="70" t="s">
        <v>89</v>
      </c>
      <c r="J28" s="70" t="s">
        <v>89</v>
      </c>
      <c r="K28" s="71" t="s">
        <v>90</v>
      </c>
      <c r="L28" s="71" t="s">
        <v>90</v>
      </c>
      <c r="M28" s="48"/>
    </row>
    <row r="29" spans="1:17" ht="32.1" customHeight="1">
      <c r="A29" s="66" t="s">
        <v>85</v>
      </c>
      <c r="B29" s="66" t="s">
        <v>85</v>
      </c>
      <c r="C29" s="67" t="s">
        <v>86</v>
      </c>
      <c r="D29" s="67" t="s">
        <v>86</v>
      </c>
      <c r="E29" s="68" t="s">
        <v>87</v>
      </c>
      <c r="F29" s="68" t="s">
        <v>87</v>
      </c>
      <c r="G29" s="69" t="s">
        <v>88</v>
      </c>
      <c r="H29" s="69" t="s">
        <v>88</v>
      </c>
      <c r="I29" s="70" t="s">
        <v>89</v>
      </c>
      <c r="J29" s="70" t="s">
        <v>89</v>
      </c>
      <c r="K29" s="71" t="s">
        <v>90</v>
      </c>
      <c r="L29" s="71" t="s">
        <v>90</v>
      </c>
      <c r="M29" s="48"/>
    </row>
    <row r="30" spans="1:17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</row>
    <row r="31" spans="1:17" ht="15">
      <c r="A31" s="54" t="s">
        <v>91</v>
      </c>
      <c r="B31" s="53" t="s">
        <v>92</v>
      </c>
      <c r="C31" s="54" t="s">
        <v>93</v>
      </c>
      <c r="D31" s="53" t="s">
        <v>94</v>
      </c>
      <c r="F31" s="48"/>
      <c r="G31" s="48"/>
      <c r="H31" s="48"/>
      <c r="I31" s="48"/>
      <c r="J31" s="48"/>
      <c r="K31" s="48"/>
      <c r="L31" s="48"/>
      <c r="M31" s="48"/>
    </row>
    <row r="32" spans="1:17" ht="15" customHeight="1">
      <c r="A32" s="58" t="s">
        <v>85</v>
      </c>
      <c r="B32" s="48" t="s">
        <v>95</v>
      </c>
      <c r="C32" s="58" t="s">
        <v>96</v>
      </c>
      <c r="D32" s="48" t="s">
        <v>97</v>
      </c>
      <c r="F32" s="48"/>
      <c r="G32" s="48"/>
      <c r="H32" s="48"/>
      <c r="I32" s="48"/>
      <c r="J32" s="48"/>
      <c r="K32" s="48"/>
      <c r="L32" s="48"/>
      <c r="M32" s="48"/>
    </row>
    <row r="33" spans="1:17" ht="15" customHeight="1">
      <c r="A33" s="58" t="s">
        <v>86</v>
      </c>
      <c r="B33" s="48" t="s">
        <v>98</v>
      </c>
      <c r="C33" s="58" t="s">
        <v>99</v>
      </c>
      <c r="D33" s="48" t="s">
        <v>100</v>
      </c>
      <c r="F33" s="48"/>
      <c r="G33" s="48"/>
      <c r="H33" s="48"/>
      <c r="I33" s="48"/>
      <c r="J33" s="48"/>
      <c r="K33" s="48"/>
      <c r="L33" s="48"/>
      <c r="M33" s="48"/>
    </row>
    <row r="34" spans="1:17" ht="15" customHeight="1">
      <c r="A34" s="58" t="s">
        <v>87</v>
      </c>
      <c r="B34" s="48" t="s">
        <v>101</v>
      </c>
      <c r="C34" s="58" t="s">
        <v>102</v>
      </c>
      <c r="D34" s="48" t="s">
        <v>103</v>
      </c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</row>
    <row r="35" spans="1:17" ht="15" customHeight="1">
      <c r="A35" s="58" t="s">
        <v>88</v>
      </c>
      <c r="B35" s="48" t="s">
        <v>104</v>
      </c>
      <c r="C35" s="58" t="s">
        <v>102</v>
      </c>
      <c r="D35" s="48" t="s">
        <v>103</v>
      </c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</row>
    <row r="36" spans="1:17" ht="15" customHeight="1">
      <c r="A36" s="58" t="s">
        <v>89</v>
      </c>
      <c r="B36" s="48" t="s">
        <v>105</v>
      </c>
      <c r="C36" s="58" t="s">
        <v>99</v>
      </c>
      <c r="D36" s="48" t="s">
        <v>100</v>
      </c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</row>
    <row r="37" spans="1:17" ht="15" customHeight="1">
      <c r="A37" s="58" t="s">
        <v>90</v>
      </c>
      <c r="B37" s="48" t="s">
        <v>106</v>
      </c>
      <c r="C37" s="58" t="s">
        <v>96</v>
      </c>
      <c r="D37" s="48" t="s">
        <v>107</v>
      </c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</row>
    <row r="38" spans="1:17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</row>
    <row r="39" spans="1:17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</row>
    <row r="40" spans="1:17">
      <c r="A40" s="72" t="s">
        <v>108</v>
      </c>
      <c r="B40" s="65"/>
      <c r="C40" s="65"/>
      <c r="D40" s="65"/>
      <c r="E40" s="48"/>
      <c r="F40" s="48"/>
      <c r="G40" s="48"/>
      <c r="K40" s="48"/>
      <c r="L40" s="48"/>
      <c r="M40" s="48"/>
      <c r="N40" s="48"/>
      <c r="O40" s="48"/>
      <c r="P40" s="48"/>
      <c r="Q40" s="48"/>
    </row>
    <row r="41" spans="1:17">
      <c r="A41" s="48"/>
      <c r="B41" s="48"/>
      <c r="C41" s="48"/>
      <c r="D41" s="48"/>
      <c r="E41" s="48"/>
      <c r="F41" s="48"/>
      <c r="G41" s="48"/>
      <c r="K41" s="48"/>
      <c r="L41" s="48"/>
      <c r="M41" s="48"/>
      <c r="N41" s="48"/>
      <c r="O41" s="48"/>
      <c r="P41" s="48"/>
      <c r="Q41" s="48"/>
    </row>
    <row r="42" spans="1:17">
      <c r="A42" s="48"/>
      <c r="B42" s="48"/>
      <c r="C42" s="48"/>
      <c r="D42" s="48"/>
      <c r="E42" s="48"/>
      <c r="F42" s="48"/>
      <c r="G42" s="48"/>
      <c r="K42" s="48"/>
      <c r="L42" s="48"/>
      <c r="M42" s="48"/>
      <c r="N42" s="48"/>
      <c r="O42" s="48"/>
      <c r="P42" s="48"/>
      <c r="Q42" s="48"/>
    </row>
    <row r="43" spans="1:17">
      <c r="A43" s="48"/>
      <c r="B43" s="48"/>
      <c r="C43" s="48"/>
      <c r="D43" s="48"/>
      <c r="E43" s="48"/>
      <c r="F43" s="48"/>
      <c r="G43" s="48"/>
      <c r="K43" s="48"/>
      <c r="L43" s="48"/>
      <c r="M43" s="48"/>
      <c r="N43" s="48"/>
      <c r="O43" s="48"/>
      <c r="P43" s="48"/>
      <c r="Q43" s="48"/>
    </row>
    <row r="44" spans="1:17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</row>
    <row r="45" spans="1:17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</row>
    <row r="46" spans="1:17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</row>
    <row r="47" spans="1:17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</row>
    <row r="48" spans="1:17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</row>
    <row r="49" spans="1:17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</row>
    <row r="50" spans="1:17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</row>
    <row r="51" spans="1:17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</row>
    <row r="52" spans="1:17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</row>
    <row r="53" spans="1:17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</row>
    <row r="54" spans="1:17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</row>
    <row r="55" spans="1:17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</row>
    <row r="56" spans="1:17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</row>
    <row r="57" spans="1:17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</row>
    <row r="58" spans="1:17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</row>
    <row r="59" spans="1:17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</row>
    <row r="60" spans="1:17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</row>
    <row r="61" spans="1:17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</row>
    <row r="62" spans="1:17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</row>
    <row r="63" spans="1:17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</row>
    <row r="64" spans="1:17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</row>
    <row r="65" spans="1:17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</row>
    <row r="66" spans="1:17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</row>
    <row r="67" spans="1:17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</row>
    <row r="68" spans="1:17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</row>
    <row r="69" spans="1:17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</row>
    <row r="70" spans="1:17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</row>
    <row r="71" spans="1:17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</row>
    <row r="72" spans="1:17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</row>
    <row r="73" spans="1:17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</row>
    <row r="74" spans="1:17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</row>
    <row r="75" spans="1:17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</row>
    <row r="76" spans="1:17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</row>
    <row r="77" spans="1:17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</row>
    <row r="78" spans="1:17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</row>
    <row r="79" spans="1:17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</row>
    <row r="80" spans="1:17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</row>
    <row r="81" spans="1:17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</row>
    <row r="82" spans="1:17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</row>
    <row r="83" spans="1:17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</row>
  </sheetData>
  <mergeCells count="3">
    <mergeCell ref="A1:J1"/>
    <mergeCell ref="A40:D40"/>
    <mergeCell ref="A26:D26"/>
  </mergeCells>
  <conditionalFormatting sqref="F20 J4:J11">
    <cfRule type="cellIs" dxfId="18" priority="8" operator="equal">
      <formula>"FAIL"</formula>
    </cfRule>
    <cfRule type="cellIs" dxfId="17" priority="29" operator="equal">
      <formula>"PASS"</formula>
    </cfRule>
  </conditionalFormatting>
  <conditionalFormatting sqref="B17 D13 H4">
    <cfRule type="expression" dxfId="16" priority="15">
      <formula>$J$4="FAIL"</formula>
    </cfRule>
  </conditionalFormatting>
  <conditionalFormatting sqref="B16:B17 D13:D14 F6 H5">
    <cfRule type="expression" dxfId="15" priority="14">
      <formula>$J$5="FAIL"</formula>
    </cfRule>
  </conditionalFormatting>
  <conditionalFormatting sqref="B16 D14 H6">
    <cfRule type="expression" dxfId="14" priority="13">
      <formula>$J$6="FAIL"</formula>
    </cfRule>
  </conditionalFormatting>
  <conditionalFormatting sqref="B16 D15 F7 H7">
    <cfRule type="expression" dxfId="13" priority="12">
      <formula>$J$7="FAIL"</formula>
    </cfRule>
  </conditionalFormatting>
  <conditionalFormatting sqref="B20 D16 F8">
    <cfRule type="expression" dxfId="12" priority="11">
      <formula>$J$8="FAIL"</formula>
    </cfRule>
  </conditionalFormatting>
  <conditionalFormatting sqref="D17 F9">
    <cfRule type="expression" dxfId="11" priority="10">
      <formula>$J$9="FAIL"</formula>
    </cfRule>
  </conditionalFormatting>
  <conditionalFormatting sqref="B19:B20 D18">
    <cfRule type="expression" dxfId="10" priority="9">
      <formula>$J$10="FAIL"</formula>
    </cfRule>
  </conditionalFormatting>
  <conditionalFormatting sqref="B18 D13:D14 F6:F7">
    <cfRule type="expression" dxfId="9" priority="7">
      <formula>$J$5="FAIL"</formula>
    </cfRule>
  </conditionalFormatting>
  <conditionalFormatting sqref="F20 J4:J11">
    <cfRule type="cellIs" dxfId="8" priority="6" operator="equal">
      <formula>"WARN"</formula>
    </cfRule>
  </conditionalFormatting>
  <conditionalFormatting sqref="B11:B12 B18:B19 F4">
    <cfRule type="expression" dxfId="2" priority="5">
      <formula>$J$11="FAIL"</formula>
    </cfRule>
    <cfRule type="expression" dxfId="1" priority="1">
      <formula>$J$11="WARN"</formula>
    </cfRule>
  </conditionalFormatting>
  <conditionalFormatting sqref="H19">
    <cfRule type="cellIs" dxfId="7" priority="4" operator="equal">
      <formula>"PASS"</formula>
    </cfRule>
  </conditionalFormatting>
  <conditionalFormatting sqref="H20">
    <cfRule type="cellIs" dxfId="6" priority="3" operator="equal">
      <formula>"WARN"</formula>
    </cfRule>
  </conditionalFormatting>
  <conditionalFormatting sqref="H21">
    <cfRule type="cellIs" dxfId="5" priority="2" operator="equal">
      <formula>"FAIL"</formula>
    </cfRule>
  </conditionalFormatting>
  <dataValidations count="6">
    <dataValidation type="list" allowBlank="1" showInputMessage="1" showErrorMessage="1" sqref="B9" xr:uid="{FCD67B31-0CCD-4071-A32E-9F4938D19DD6}">
      <formula1>OrientationList</formula1>
    </dataValidation>
    <dataValidation type="list" allowBlank="1" showInputMessage="1" showErrorMessage="1" sqref="B10" xr:uid="{437E0691-0E6D-4433-B220-2226FF134D06}">
      <formula1>MountTypeList</formula1>
    </dataValidation>
    <dataValidation type="list" allowBlank="1" showInputMessage="1" showErrorMessage="1" sqref="B21" xr:uid="{92CD2931-4C82-4023-81D7-42E7552B88D5}">
      <formula1>MpptModeList</formula1>
    </dataValidation>
    <dataValidation type="list" allowBlank="1" showInputMessage="1" showErrorMessage="1" sqref="B5" xr:uid="{6EECEC2D-7BE4-4D21-BE58-BB031CE24A33}">
      <formula1>PanelList</formula1>
    </dataValidation>
    <dataValidation type="list" allowBlank="1" showInputMessage="1" showErrorMessage="1" sqref="B6" xr:uid="{16D63C76-1967-4FAF-9519-D1E734893843}">
      <formula1>InverterList</formula1>
    </dataValidation>
    <dataValidation type="list" allowBlank="1" showInputMessage="1" showErrorMessage="1" sqref="B7" xr:uid="{0825E80B-434A-490D-85B4-B9C2D49F292F}">
      <formula1>BatteryList</formula1>
    </dataValidation>
  </dataValidations>
  <pageMargins left="0.7" right="0.7" top="0.75" bottom="0.75" header="0.3" footer="0.3"/>
  <pageSetup scale="3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Q80"/>
  <sheetViews>
    <sheetView workbookViewId="0">
      <selection activeCell="B20" sqref="B20"/>
    </sheetView>
  </sheetViews>
  <sheetFormatPr defaultRowHeight="14.25"/>
  <cols>
    <col min="1" max="1" width="17" customWidth="1"/>
    <col min="2" max="2" width="17" style="27" customWidth="1"/>
    <col min="3" max="3" width="17" customWidth="1"/>
    <col min="4" max="15" width="16.625" customWidth="1"/>
  </cols>
  <sheetData>
    <row r="1" spans="1:17" ht="75" customHeight="1">
      <c r="A1" s="44" t="s">
        <v>109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5"/>
      <c r="Q1" s="5"/>
    </row>
    <row r="2" spans="1:17">
      <c r="A2" s="5"/>
      <c r="B2" s="22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0" t="s">
        <v>110</v>
      </c>
      <c r="B3" s="22"/>
      <c r="C3" s="5"/>
      <c r="D3" s="11" t="s">
        <v>111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32.1" customHeight="1">
      <c r="A4" s="6" t="s">
        <v>49</v>
      </c>
      <c r="B4" s="28" t="str">
        <f>'02_Build'!B9</f>
        <v>Portrait</v>
      </c>
      <c r="C4" s="5"/>
      <c r="D4" s="12" t="s">
        <v>85</v>
      </c>
      <c r="E4" s="12" t="s">
        <v>85</v>
      </c>
      <c r="F4" s="13" t="s">
        <v>86</v>
      </c>
      <c r="G4" s="13" t="s">
        <v>86</v>
      </c>
      <c r="H4" s="14" t="s">
        <v>87</v>
      </c>
      <c r="I4" s="14" t="s">
        <v>87</v>
      </c>
      <c r="J4" s="15" t="s">
        <v>88</v>
      </c>
      <c r="K4" s="15" t="s">
        <v>88</v>
      </c>
      <c r="L4" s="16" t="s">
        <v>89</v>
      </c>
      <c r="M4" s="16" t="s">
        <v>89</v>
      </c>
      <c r="N4" s="17" t="s">
        <v>90</v>
      </c>
      <c r="O4" s="17" t="s">
        <v>90</v>
      </c>
      <c r="P4" s="5"/>
      <c r="Q4" s="5"/>
    </row>
    <row r="5" spans="1:17" ht="32.1" customHeight="1">
      <c r="A5" s="6" t="s">
        <v>56</v>
      </c>
      <c r="B5" s="29">
        <f>'02_Build'!B11</f>
        <v>3</v>
      </c>
      <c r="C5" s="5"/>
      <c r="D5" s="12" t="s">
        <v>85</v>
      </c>
      <c r="E5" s="12" t="s">
        <v>85</v>
      </c>
      <c r="F5" s="13" t="s">
        <v>86</v>
      </c>
      <c r="G5" s="13" t="s">
        <v>86</v>
      </c>
      <c r="H5" s="14" t="s">
        <v>87</v>
      </c>
      <c r="I5" s="14" t="s">
        <v>87</v>
      </c>
      <c r="J5" s="15" t="s">
        <v>88</v>
      </c>
      <c r="K5" s="15" t="s">
        <v>88</v>
      </c>
      <c r="L5" s="16" t="s">
        <v>89</v>
      </c>
      <c r="M5" s="16" t="s">
        <v>89</v>
      </c>
      <c r="N5" s="17" t="s">
        <v>90</v>
      </c>
      <c r="O5" s="17" t="s">
        <v>90</v>
      </c>
      <c r="P5" s="5"/>
      <c r="Q5" s="5"/>
    </row>
    <row r="6" spans="1:17" ht="32.1" customHeight="1">
      <c r="A6" s="6" t="s">
        <v>58</v>
      </c>
      <c r="B6" s="29">
        <f>'02_Build'!B12</f>
        <v>12</v>
      </c>
      <c r="C6" s="5"/>
      <c r="D6" s="12" t="s">
        <v>85</v>
      </c>
      <c r="E6" s="12" t="s">
        <v>85</v>
      </c>
      <c r="F6" s="13" t="s">
        <v>86</v>
      </c>
      <c r="G6" s="13" t="s">
        <v>86</v>
      </c>
      <c r="H6" s="14" t="s">
        <v>87</v>
      </c>
      <c r="I6" s="14" t="s">
        <v>87</v>
      </c>
      <c r="J6" s="15" t="s">
        <v>88</v>
      </c>
      <c r="K6" s="15" t="s">
        <v>88</v>
      </c>
      <c r="L6" s="16" t="s">
        <v>89</v>
      </c>
      <c r="M6" s="16" t="s">
        <v>89</v>
      </c>
      <c r="N6" s="17" t="s">
        <v>90</v>
      </c>
      <c r="O6" s="17" t="s">
        <v>90</v>
      </c>
      <c r="P6" s="5"/>
      <c r="Q6" s="5"/>
    </row>
    <row r="7" spans="1:17" ht="15">
      <c r="A7" s="6" t="s">
        <v>63</v>
      </c>
      <c r="B7" s="29">
        <f>'02_Build'!B14</f>
        <v>37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53</v>
      </c>
      <c r="B8" s="28" t="str">
        <f>'02_Build'!B10</f>
        <v>Single Bank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5">
      <c r="A9" s="6" t="s">
        <v>68</v>
      </c>
      <c r="B9" s="29">
        <f>'02_Build'!F16</f>
        <v>47.440944881889763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15">
      <c r="A10" s="6" t="s">
        <v>112</v>
      </c>
      <c r="B10" s="29">
        <f>'02_Build'!F17</f>
        <v>17.00787401574803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15">
      <c r="A11" s="6" t="s">
        <v>74</v>
      </c>
      <c r="B11" s="29">
        <f>'02_Build'!F18</f>
        <v>13.583092139387027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6" t="s">
        <v>113</v>
      </c>
      <c r="B12" s="29">
        <f>'02_Build'!F19</f>
        <v>10.235594094554521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>
      <c r="A13" s="5"/>
      <c r="B13" s="22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>
      <c r="A14" s="5"/>
      <c r="B14" s="2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30">
      <c r="A15" s="10" t="s">
        <v>114</v>
      </c>
      <c r="B15" s="2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15">
      <c r="A16" s="11" t="s">
        <v>115</v>
      </c>
      <c r="B16" s="30" t="s">
        <v>49</v>
      </c>
      <c r="C16" s="19" t="s">
        <v>116</v>
      </c>
      <c r="D16" s="19" t="s">
        <v>117</v>
      </c>
      <c r="E16" s="19" t="s">
        <v>118</v>
      </c>
      <c r="F16" s="19" t="s">
        <v>119</v>
      </c>
      <c r="G16" s="19" t="s">
        <v>113</v>
      </c>
      <c r="H16" s="19" t="s">
        <v>74</v>
      </c>
      <c r="I16" s="11" t="s">
        <v>120</v>
      </c>
      <c r="J16" s="11" t="s">
        <v>121</v>
      </c>
      <c r="K16" s="5"/>
      <c r="L16" s="5"/>
      <c r="M16" s="5"/>
      <c r="N16" s="5"/>
      <c r="O16" s="5"/>
      <c r="P16" s="5"/>
      <c r="Q16" s="5"/>
    </row>
    <row r="17" spans="1:17" ht="28.5">
      <c r="A17" s="5" t="s">
        <v>122</v>
      </c>
      <c r="B17" s="22" t="s">
        <v>50</v>
      </c>
      <c r="C17" s="21">
        <v>3</v>
      </c>
      <c r="D17" s="21">
        <v>12</v>
      </c>
      <c r="E17" s="20">
        <f>C17*D17</f>
        <v>36</v>
      </c>
      <c r="F17" s="20">
        <f>IF(B17="Portrait",D17*'02_Build'!F14,D17*'02_Build'!F15)</f>
        <v>47.440944881889763</v>
      </c>
      <c r="G17" s="20">
        <f>IF(B17="Portrait",C17*'02_Build'!F15,C17*'02_Build'!F14)*SIN(RADIANS('02_Build'!$B$14))</f>
        <v>10.235594094554521</v>
      </c>
      <c r="H17" s="20">
        <f>IF(B17="Portrait",C17*'02_Build'!F15,C17*'02_Build'!F14)*COS(RADIANS('02_Build'!$B$14))</f>
        <v>13.583092139387027</v>
      </c>
      <c r="I17" s="5" t="s">
        <v>123</v>
      </c>
      <c r="J17" s="5" t="s">
        <v>124</v>
      </c>
      <c r="K17" s="5"/>
      <c r="L17" s="5"/>
      <c r="M17" s="5"/>
      <c r="N17" s="5"/>
      <c r="O17" s="5"/>
      <c r="P17" s="5"/>
      <c r="Q17" s="5"/>
    </row>
    <row r="18" spans="1:17" ht="28.5">
      <c r="A18" s="5" t="s">
        <v>122</v>
      </c>
      <c r="B18" s="22" t="s">
        <v>125</v>
      </c>
      <c r="C18" s="21">
        <v>3</v>
      </c>
      <c r="D18" s="21">
        <v>12</v>
      </c>
      <c r="E18" s="20">
        <f>C18*D18</f>
        <v>36</v>
      </c>
      <c r="F18" s="20">
        <f>IF(B18="Portrait",D18*'02_Build'!F14,D18*'02_Build'!F15)</f>
        <v>68.031496062992119</v>
      </c>
      <c r="G18" s="20">
        <f>IF(B18="Portrait",C18*'02_Build'!F15,C18*'02_Build'!F14)*SIN(RADIANS('02_Build'!$B$14))</f>
        <v>7.1376683356123838</v>
      </c>
      <c r="H18" s="20">
        <f>IF(B18="Portrait",C18*'02_Build'!F15,C18*'02_Build'!F14)*COS(RADIANS('02_Build'!$B$14))</f>
        <v>9.4720058032183836</v>
      </c>
      <c r="I18" s="5" t="s">
        <v>123</v>
      </c>
      <c r="J18" s="5" t="s">
        <v>126</v>
      </c>
      <c r="K18" s="5"/>
      <c r="L18" s="5"/>
      <c r="M18" s="5"/>
      <c r="N18" s="5"/>
      <c r="O18" s="5"/>
      <c r="P18" s="5"/>
      <c r="Q18" s="5"/>
    </row>
    <row r="19" spans="1:17" ht="42.75">
      <c r="A19" s="5" t="s">
        <v>127</v>
      </c>
      <c r="B19" s="22" t="s">
        <v>50</v>
      </c>
      <c r="C19" s="21">
        <v>2</v>
      </c>
      <c r="D19" s="21">
        <v>18</v>
      </c>
      <c r="E19" s="20">
        <f>C19*D19</f>
        <v>36</v>
      </c>
      <c r="F19" s="20">
        <f>IF(B19="Portrait",D19*'02_Build'!F14,D19*'02_Build'!F15)</f>
        <v>71.161417322834637</v>
      </c>
      <c r="G19" s="20">
        <f>IF(B19="Portrait",C19*'02_Build'!F15,C19*'02_Build'!F14)*SIN(RADIANS('02_Build'!$B$14))</f>
        <v>6.8237293963696803</v>
      </c>
      <c r="H19" s="20">
        <f>IF(B19="Portrait",C19*'02_Build'!F15,C19*'02_Build'!F14)*COS(RADIANS('02_Build'!$B$14))</f>
        <v>9.0553947595913513</v>
      </c>
      <c r="I19" s="5" t="s">
        <v>128</v>
      </c>
      <c r="J19" s="5" t="s">
        <v>129</v>
      </c>
      <c r="K19" s="5"/>
      <c r="L19" s="5"/>
      <c r="M19" s="5"/>
      <c r="N19" s="5"/>
      <c r="O19" s="5"/>
      <c r="P19" s="5"/>
      <c r="Q19" s="5"/>
    </row>
    <row r="20" spans="1:17" ht="57">
      <c r="A20" s="5" t="s">
        <v>130</v>
      </c>
      <c r="B20" s="22" t="s">
        <v>50</v>
      </c>
      <c r="C20" s="21">
        <v>2</v>
      </c>
      <c r="D20" s="21">
        <v>9</v>
      </c>
      <c r="E20" s="20">
        <f>2*C20*D20</f>
        <v>36</v>
      </c>
      <c r="F20" s="20">
        <f>IF(B20="Portrait",D20*'02_Build'!F14,D20*'02_Build'!F15)</f>
        <v>35.580708661417319</v>
      </c>
      <c r="G20" s="20">
        <f>IF(B20="Portrait",C20*'02_Build'!F15,C20*'02_Build'!F14)*SIN(RADIANS('02_Build'!$B$14))</f>
        <v>6.8237293963696803</v>
      </c>
      <c r="H20" s="20">
        <f>IF(B20="Portrait",C20*'02_Build'!F15,C20*'02_Build'!F14)*COS(RADIANS('02_Build'!$B$14))</f>
        <v>9.0553947595913513</v>
      </c>
      <c r="I20" s="5" t="s">
        <v>131</v>
      </c>
      <c r="J20" s="5" t="s">
        <v>132</v>
      </c>
      <c r="K20" s="5"/>
      <c r="L20" s="5"/>
      <c r="M20" s="5"/>
      <c r="N20" s="5"/>
      <c r="O20" s="5"/>
      <c r="P20" s="5"/>
      <c r="Q20" s="5"/>
    </row>
    <row r="21" spans="1:17">
      <c r="A21" s="5"/>
      <c r="B21" s="2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2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2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2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2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2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2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2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22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2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22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22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22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22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22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22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22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2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2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22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22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22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22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2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22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22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22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22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22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22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22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22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22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22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22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22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22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22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22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22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26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26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26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26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26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26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26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26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26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26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26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26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26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26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26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26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26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26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26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26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O1"/>
  </mergeCells>
  <pageMargins left="0.7" right="0.7" top="0.75" bottom="0.75" header="0.3" footer="0.3"/>
  <pageSetup scale="4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80"/>
  <sheetViews>
    <sheetView workbookViewId="0">
      <selection activeCell="B20" sqref="B20"/>
    </sheetView>
  </sheetViews>
  <sheetFormatPr defaultRowHeight="14.25"/>
  <cols>
    <col min="1" max="1" width="31" customWidth="1"/>
    <col min="2" max="8" width="19" customWidth="1"/>
  </cols>
  <sheetData>
    <row r="1" spans="1:17" ht="75" customHeight="1">
      <c r="A1" s="44" t="s">
        <v>133</v>
      </c>
      <c r="B1" s="42"/>
      <c r="C1" s="42"/>
      <c r="D1" s="42"/>
      <c r="E1" s="42"/>
      <c r="F1" s="42"/>
      <c r="G1" s="42"/>
      <c r="H1" s="42"/>
      <c r="I1" s="5"/>
      <c r="J1" s="5"/>
      <c r="K1" s="5"/>
      <c r="L1" s="5"/>
      <c r="M1" s="5"/>
      <c r="N1" s="5"/>
      <c r="O1" s="5"/>
      <c r="P1" s="5"/>
      <c r="Q1" s="5"/>
    </row>
    <row r="2" spans="1:17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30">
      <c r="A3" s="10" t="s">
        <v>134</v>
      </c>
      <c r="B3" s="5"/>
      <c r="C3" s="5"/>
      <c r="D3" s="11" t="s">
        <v>135</v>
      </c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5">
      <c r="A4" s="6" t="s">
        <v>136</v>
      </c>
      <c r="B4" s="7" t="s">
        <v>137</v>
      </c>
      <c r="C4" s="5"/>
      <c r="D4" s="11" t="s">
        <v>91</v>
      </c>
      <c r="E4" s="11" t="s">
        <v>138</v>
      </c>
      <c r="F4" s="11" t="s">
        <v>139</v>
      </c>
      <c r="G4" s="11" t="s">
        <v>140</v>
      </c>
      <c r="H4" s="11" t="s">
        <v>141</v>
      </c>
      <c r="I4" s="5"/>
      <c r="J4" s="5"/>
      <c r="K4" s="5"/>
      <c r="L4" s="5"/>
      <c r="M4" s="5"/>
      <c r="N4" s="5"/>
      <c r="O4" s="5"/>
      <c r="P4" s="5"/>
      <c r="Q4" s="5"/>
    </row>
    <row r="5" spans="1:17" ht="15">
      <c r="A5" s="6" t="s">
        <v>142</v>
      </c>
      <c r="B5" s="7">
        <v>2</v>
      </c>
      <c r="C5" s="5"/>
      <c r="D5" s="5" t="s">
        <v>85</v>
      </c>
      <c r="E5" s="5" t="s">
        <v>143</v>
      </c>
      <c r="F5" s="5" t="str">
        <f>IF($B$5&gt;=2,"YES","NO")</f>
        <v>YES</v>
      </c>
      <c r="G5" s="18">
        <f t="shared" ref="G5:G10" si="0">IF(F5="YES",$B$6,$B$7)</f>
        <v>0.15</v>
      </c>
      <c r="H5" s="5" t="str">
        <f>'02_Build'!C32</f>
        <v>MPPT1</v>
      </c>
      <c r="I5" s="5"/>
      <c r="J5" s="5"/>
      <c r="K5" s="5"/>
      <c r="L5" s="5"/>
      <c r="M5" s="5"/>
      <c r="N5" s="5"/>
      <c r="O5" s="5"/>
      <c r="P5" s="5"/>
      <c r="Q5" s="5"/>
    </row>
    <row r="6" spans="1:17" ht="15">
      <c r="A6" s="6" t="s">
        <v>144</v>
      </c>
      <c r="B6" s="24">
        <v>0.15</v>
      </c>
      <c r="C6" s="5"/>
      <c r="D6" s="5" t="s">
        <v>86</v>
      </c>
      <c r="E6" s="5" t="s">
        <v>145</v>
      </c>
      <c r="F6" s="5" t="str">
        <f>IF($B$5&gt;=4,"YES","NO")</f>
        <v>NO</v>
      </c>
      <c r="G6" s="18">
        <f t="shared" si="0"/>
        <v>1</v>
      </c>
      <c r="H6" s="5" t="str">
        <f>'02_Build'!C33</f>
        <v>MPPT2</v>
      </c>
      <c r="I6" s="5"/>
      <c r="J6" s="5"/>
      <c r="K6" s="5"/>
      <c r="L6" s="5"/>
      <c r="M6" s="5"/>
      <c r="N6" s="5"/>
      <c r="O6" s="5"/>
      <c r="P6" s="5"/>
      <c r="Q6" s="5"/>
    </row>
    <row r="7" spans="1:17" ht="15">
      <c r="A7" s="6" t="s">
        <v>146</v>
      </c>
      <c r="B7" s="24">
        <v>1</v>
      </c>
      <c r="C7" s="5"/>
      <c r="D7" s="5" t="s">
        <v>87</v>
      </c>
      <c r="E7" s="5" t="s">
        <v>147</v>
      </c>
      <c r="F7" s="5" t="str">
        <f>IF($B$5&gt;=6,"YES","NO")</f>
        <v>NO</v>
      </c>
      <c r="G7" s="18">
        <f t="shared" si="0"/>
        <v>1</v>
      </c>
      <c r="H7" s="5" t="str">
        <f>'02_Build'!C34</f>
        <v>MPPT3</v>
      </c>
      <c r="I7" s="5"/>
      <c r="J7" s="5"/>
      <c r="K7" s="5"/>
      <c r="L7" s="5"/>
      <c r="M7" s="5"/>
      <c r="N7" s="5"/>
      <c r="O7" s="5"/>
      <c r="P7" s="5"/>
      <c r="Q7" s="5"/>
    </row>
    <row r="8" spans="1:17" ht="15">
      <c r="A8" s="6" t="s">
        <v>148</v>
      </c>
      <c r="B8" s="7" t="s">
        <v>149</v>
      </c>
      <c r="C8" s="5"/>
      <c r="D8" s="5" t="s">
        <v>88</v>
      </c>
      <c r="E8" s="5" t="s">
        <v>150</v>
      </c>
      <c r="F8" s="5" t="str">
        <f>IF($B$5&gt;=8,"YES","NO")</f>
        <v>NO</v>
      </c>
      <c r="G8" s="18">
        <f t="shared" si="0"/>
        <v>1</v>
      </c>
      <c r="H8" s="5" t="str">
        <f>'02_Build'!C35</f>
        <v>MPPT3</v>
      </c>
      <c r="I8" s="5"/>
      <c r="J8" s="5"/>
      <c r="K8" s="5"/>
      <c r="L8" s="5"/>
      <c r="M8" s="5"/>
      <c r="N8" s="5"/>
      <c r="O8" s="5"/>
      <c r="P8" s="5"/>
      <c r="Q8" s="5"/>
    </row>
    <row r="9" spans="1:17">
      <c r="A9" s="5"/>
      <c r="B9" s="5"/>
      <c r="C9" s="5"/>
      <c r="D9" s="5" t="s">
        <v>89</v>
      </c>
      <c r="E9" s="5" t="s">
        <v>151</v>
      </c>
      <c r="F9" s="5" t="str">
        <f>IF($B$5&gt;=10,"YES","NO")</f>
        <v>NO</v>
      </c>
      <c r="G9" s="18">
        <f t="shared" si="0"/>
        <v>1</v>
      </c>
      <c r="H9" s="5" t="str">
        <f>'02_Build'!C36</f>
        <v>MPPT2</v>
      </c>
      <c r="I9" s="5"/>
      <c r="J9" s="5"/>
      <c r="K9" s="5"/>
      <c r="L9" s="5"/>
      <c r="M9" s="5"/>
      <c r="N9" s="5"/>
      <c r="O9" s="5"/>
      <c r="P9" s="5"/>
      <c r="Q9" s="5"/>
    </row>
    <row r="10" spans="1:17">
      <c r="A10" s="5"/>
      <c r="B10" s="5"/>
      <c r="C10" s="5"/>
      <c r="D10" s="5" t="s">
        <v>90</v>
      </c>
      <c r="E10" s="5" t="s">
        <v>152</v>
      </c>
      <c r="F10" s="5" t="str">
        <f>IF($B$5&gt;=12,"YES","NO")</f>
        <v>NO</v>
      </c>
      <c r="G10" s="18">
        <f t="shared" si="0"/>
        <v>1</v>
      </c>
      <c r="H10" s="5" t="str">
        <f>'02_Build'!C37</f>
        <v>MPPT1</v>
      </c>
      <c r="I10" s="5"/>
      <c r="J10" s="5"/>
      <c r="K10" s="5"/>
      <c r="L10" s="5"/>
      <c r="M10" s="5"/>
      <c r="N10" s="5"/>
      <c r="O10" s="5"/>
      <c r="P10" s="5"/>
      <c r="Q10" s="5"/>
    </row>
    <row r="11" spans="1:17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15">
      <c r="A12" s="5"/>
      <c r="B12" s="5"/>
      <c r="C12" s="5"/>
      <c r="D12" s="10" t="s">
        <v>93</v>
      </c>
      <c r="E12" s="10" t="s">
        <v>153</v>
      </c>
      <c r="F12" s="10" t="s">
        <v>154</v>
      </c>
      <c r="G12" s="10" t="s">
        <v>155</v>
      </c>
      <c r="H12" s="10" t="s">
        <v>156</v>
      </c>
      <c r="I12" s="5"/>
      <c r="J12" s="5"/>
      <c r="K12" s="5"/>
      <c r="L12" s="5"/>
      <c r="M12" s="5"/>
      <c r="N12" s="5"/>
      <c r="O12" s="5"/>
      <c r="P12" s="5"/>
      <c r="Q12" s="5"/>
    </row>
    <row r="13" spans="1:17" ht="28.5">
      <c r="A13" s="5"/>
      <c r="B13" s="5"/>
      <c r="C13" s="5"/>
      <c r="D13" s="5" t="s">
        <v>96</v>
      </c>
      <c r="E13" s="5" t="s">
        <v>85</v>
      </c>
      <c r="F13" s="5" t="s">
        <v>90</v>
      </c>
      <c r="G13" s="18">
        <f>AVERAGE(G5,G10)</f>
        <v>0.57499999999999996</v>
      </c>
      <c r="H13" s="5" t="s">
        <v>157</v>
      </c>
      <c r="I13" s="5"/>
      <c r="J13" s="5"/>
      <c r="K13" s="5"/>
      <c r="L13" s="5"/>
      <c r="M13" s="5"/>
      <c r="N13" s="5"/>
      <c r="O13" s="5"/>
      <c r="P13" s="5"/>
      <c r="Q13" s="5"/>
    </row>
    <row r="14" spans="1:17" ht="28.5">
      <c r="A14" s="5"/>
      <c r="B14" s="5"/>
      <c r="C14" s="5"/>
      <c r="D14" s="5" t="s">
        <v>99</v>
      </c>
      <c r="E14" s="5" t="s">
        <v>86</v>
      </c>
      <c r="F14" s="5" t="s">
        <v>89</v>
      </c>
      <c r="G14" s="18">
        <f>AVERAGE(G6,G9)</f>
        <v>1</v>
      </c>
      <c r="H14" s="5" t="s">
        <v>158</v>
      </c>
      <c r="I14" s="5"/>
      <c r="J14" s="5"/>
      <c r="K14" s="5"/>
      <c r="L14" s="5"/>
      <c r="M14" s="5"/>
      <c r="N14" s="5"/>
      <c r="O14" s="5"/>
      <c r="P14" s="5"/>
      <c r="Q14" s="5"/>
    </row>
    <row r="15" spans="1:17">
      <c r="A15" s="5"/>
      <c r="B15" s="5"/>
      <c r="C15" s="5"/>
      <c r="D15" s="5" t="s">
        <v>102</v>
      </c>
      <c r="E15" s="5" t="s">
        <v>87</v>
      </c>
      <c r="F15" s="5" t="s">
        <v>88</v>
      </c>
      <c r="G15" s="18">
        <f>AVERAGE(G7,G8)</f>
        <v>1</v>
      </c>
      <c r="H15" s="5" t="s">
        <v>159</v>
      </c>
      <c r="I15" s="5"/>
      <c r="J15" s="5"/>
      <c r="K15" s="5"/>
      <c r="L15" s="5"/>
      <c r="M15" s="5"/>
      <c r="N15" s="5"/>
      <c r="O15" s="5"/>
      <c r="P15" s="5"/>
      <c r="Q15" s="5"/>
    </row>
    <row r="16" spans="1:17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99.75">
      <c r="A18" s="8" t="s">
        <v>160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</sheetData>
  <mergeCells count="1">
    <mergeCell ref="A1:H1"/>
  </mergeCells>
  <pageMargins left="0.7" right="0.7" top="0.75" bottom="0.75" header="0.3" footer="0.3"/>
  <pageSetup scale="6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Q60"/>
  <sheetViews>
    <sheetView workbookViewId="0">
      <selection activeCell="B20" sqref="B20"/>
    </sheetView>
  </sheetViews>
  <sheetFormatPr defaultRowHeight="14.25"/>
  <cols>
    <col min="1" max="1" width="25" customWidth="1"/>
    <col min="2" max="2" width="30" customWidth="1"/>
    <col min="3" max="3" width="25" style="33" customWidth="1"/>
    <col min="4" max="4" width="43.125" customWidth="1"/>
  </cols>
  <sheetData>
    <row r="1" spans="1:17" ht="75" customHeight="1">
      <c r="A1" s="44" t="s">
        <v>161</v>
      </c>
      <c r="B1" s="45"/>
      <c r="C1" s="45"/>
      <c r="D1" s="4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3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162</v>
      </c>
      <c r="B3" s="3" t="s">
        <v>28</v>
      </c>
      <c r="C3" s="32" t="s">
        <v>31</v>
      </c>
      <c r="D3" s="3" t="s">
        <v>121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5">
      <c r="A4" s="4" t="s">
        <v>4</v>
      </c>
      <c r="B4" s="2" t="s">
        <v>163</v>
      </c>
      <c r="C4" s="31" t="str">
        <f>'02_Build'!J4</f>
        <v>PASS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5">
      <c r="A5" s="4" t="s">
        <v>4</v>
      </c>
      <c r="B5" s="2" t="s">
        <v>164</v>
      </c>
      <c r="C5" s="31" t="str">
        <f>'02_Build'!J7</f>
        <v>PASS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5">
      <c r="A6" s="4" t="s">
        <v>4</v>
      </c>
      <c r="B6" s="2" t="s">
        <v>165</v>
      </c>
      <c r="C6" s="31" t="str">
        <f>'02_Build'!J8</f>
        <v>PASS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5">
      <c r="A7" s="4" t="s">
        <v>4</v>
      </c>
      <c r="B7" s="2" t="s">
        <v>166</v>
      </c>
      <c r="C7" s="31" t="str">
        <f>'02_Build'!J9</f>
        <v>PASS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5">
      <c r="A8" s="4" t="s">
        <v>6</v>
      </c>
      <c r="B8" s="2" t="s">
        <v>167</v>
      </c>
      <c r="C8" s="31" t="s">
        <v>168</v>
      </c>
      <c r="D8" s="2" t="s">
        <v>169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5">
      <c r="A9" s="4" t="s">
        <v>6</v>
      </c>
      <c r="B9" s="2" t="s">
        <v>170</v>
      </c>
      <c r="C9" s="31" t="s">
        <v>171</v>
      </c>
      <c r="D9" s="2" t="s">
        <v>172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4" t="s">
        <v>11</v>
      </c>
      <c r="B10" s="2" t="s">
        <v>173</v>
      </c>
      <c r="C10" s="31" t="s">
        <v>171</v>
      </c>
      <c r="D10" s="2" t="s">
        <v>174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5">
      <c r="A11" s="4" t="s">
        <v>15</v>
      </c>
      <c r="B11" s="2" t="s">
        <v>175</v>
      </c>
      <c r="C11" s="31" t="s">
        <v>171</v>
      </c>
      <c r="D11" s="2" t="s">
        <v>176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5">
      <c r="A12" s="4" t="s">
        <v>177</v>
      </c>
      <c r="B12" s="2" t="s">
        <v>178</v>
      </c>
      <c r="C12" s="31" t="s">
        <v>171</v>
      </c>
      <c r="D12" s="2" t="s">
        <v>179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/>
      <c r="B13" s="2"/>
      <c r="C13" s="31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/>
      <c r="B14" s="2"/>
      <c r="C14" s="31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31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31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31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31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31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3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31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31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31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31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31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31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3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31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31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31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31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31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31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31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31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31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31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31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31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3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31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31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31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31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31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31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31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31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31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31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31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31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31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31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31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31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31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31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31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31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mergeCells count="1">
    <mergeCell ref="A1:D1"/>
  </mergeCells>
  <pageMargins left="0.7" right="0.7" top="0.75" bottom="0.75" header="0.3" footer="0.3"/>
  <pageSetup scale="9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6"/>
  <sheetViews>
    <sheetView workbookViewId="0">
      <selection activeCell="C12" sqref="C12"/>
    </sheetView>
  </sheetViews>
  <sheetFormatPr defaultRowHeight="14.25"/>
  <cols>
    <col min="1" max="1" width="8.125" bestFit="1" customWidth="1"/>
    <col min="2" max="2" width="13.5" bestFit="1" customWidth="1"/>
    <col min="3" max="3" width="22" bestFit="1" customWidth="1"/>
    <col min="4" max="4" width="7" bestFit="1" customWidth="1"/>
    <col min="5" max="5" width="5.875" bestFit="1" customWidth="1"/>
    <col min="6" max="6" width="6.25" bestFit="1" customWidth="1"/>
    <col min="7" max="8" width="5.875" bestFit="1" customWidth="1"/>
    <col min="9" max="9" width="13.375" bestFit="1" customWidth="1"/>
    <col min="10" max="10" width="15" bestFit="1" customWidth="1"/>
    <col min="11" max="11" width="10.125" bestFit="1" customWidth="1"/>
    <col min="12" max="12" width="9.375" bestFit="1" customWidth="1"/>
    <col min="13" max="13" width="8.5" bestFit="1" customWidth="1"/>
    <col min="14" max="14" width="12.375" bestFit="1" customWidth="1"/>
    <col min="15" max="15" width="12.5" bestFit="1" customWidth="1"/>
    <col min="16" max="16" width="13.875" bestFit="1" customWidth="1"/>
    <col min="17" max="17" width="46.25" bestFit="1" customWidth="1"/>
  </cols>
  <sheetData>
    <row r="1" spans="1:17">
      <c r="A1" t="s">
        <v>315</v>
      </c>
      <c r="B1" t="s">
        <v>180</v>
      </c>
      <c r="C1" t="s">
        <v>181</v>
      </c>
      <c r="D1" t="s">
        <v>182</v>
      </c>
      <c r="E1" t="s">
        <v>183</v>
      </c>
      <c r="F1" t="s">
        <v>184</v>
      </c>
      <c r="G1" t="s">
        <v>185</v>
      </c>
      <c r="H1" t="s">
        <v>186</v>
      </c>
      <c r="I1" t="s">
        <v>51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</row>
    <row r="2" spans="1:17">
      <c r="A2" t="s">
        <v>316</v>
      </c>
      <c r="B2" t="s">
        <v>195</v>
      </c>
      <c r="C2" t="s">
        <v>36</v>
      </c>
      <c r="D2">
        <v>460</v>
      </c>
      <c r="E2">
        <v>65.7</v>
      </c>
      <c r="F2">
        <v>54.9</v>
      </c>
      <c r="G2">
        <v>8.8800000000000008</v>
      </c>
      <c r="H2">
        <v>8.3800000000000008</v>
      </c>
      <c r="I2">
        <v>-0.24</v>
      </c>
      <c r="J2">
        <v>-0.24</v>
      </c>
      <c r="K2">
        <v>1728</v>
      </c>
      <c r="L2">
        <v>1205</v>
      </c>
      <c r="M2">
        <v>47.4</v>
      </c>
      <c r="N2">
        <v>25</v>
      </c>
      <c r="O2">
        <v>1000</v>
      </c>
      <c r="P2">
        <v>315</v>
      </c>
      <c r="Q2" t="s">
        <v>196</v>
      </c>
    </row>
    <row r="3" spans="1:17">
      <c r="A3" t="s">
        <v>317</v>
      </c>
      <c r="B3" t="s">
        <v>197</v>
      </c>
      <c r="C3" t="s">
        <v>198</v>
      </c>
      <c r="D3">
        <v>430</v>
      </c>
      <c r="E3">
        <v>45.54</v>
      </c>
      <c r="F3">
        <v>38.39</v>
      </c>
      <c r="G3">
        <v>11.35</v>
      </c>
      <c r="H3">
        <v>11.2</v>
      </c>
      <c r="I3">
        <v>-0.24</v>
      </c>
      <c r="J3">
        <v>-0.28999999999999998</v>
      </c>
      <c r="K3">
        <v>1722</v>
      </c>
      <c r="L3">
        <v>1134</v>
      </c>
      <c r="M3">
        <v>48.5</v>
      </c>
      <c r="N3">
        <v>25</v>
      </c>
      <c r="O3">
        <v>1000</v>
      </c>
      <c r="P3">
        <v>240</v>
      </c>
      <c r="Q3" t="s">
        <v>199</v>
      </c>
    </row>
    <row r="4" spans="1:17">
      <c r="A4" t="s">
        <v>318</v>
      </c>
      <c r="B4" t="s">
        <v>200</v>
      </c>
      <c r="C4" t="s">
        <v>201</v>
      </c>
      <c r="D4">
        <v>455</v>
      </c>
      <c r="E4">
        <v>49.3</v>
      </c>
      <c r="F4">
        <v>41.5</v>
      </c>
      <c r="G4">
        <v>11.74</v>
      </c>
      <c r="H4">
        <v>10.97</v>
      </c>
      <c r="I4">
        <v>-0.26</v>
      </c>
      <c r="J4">
        <v>-0.34</v>
      </c>
      <c r="K4">
        <v>1903</v>
      </c>
      <c r="L4">
        <v>1134</v>
      </c>
      <c r="M4">
        <v>54</v>
      </c>
      <c r="N4">
        <v>25</v>
      </c>
      <c r="O4">
        <v>1500</v>
      </c>
      <c r="P4">
        <v>220</v>
      </c>
      <c r="Q4" t="s">
        <v>199</v>
      </c>
    </row>
    <row r="5" spans="1:17">
      <c r="A5" t="s">
        <v>319</v>
      </c>
      <c r="B5" t="s">
        <v>202</v>
      </c>
      <c r="C5" t="s">
        <v>203</v>
      </c>
      <c r="D5">
        <v>460</v>
      </c>
      <c r="E5">
        <v>46.7</v>
      </c>
      <c r="F5">
        <v>38.5</v>
      </c>
      <c r="G5">
        <v>12.7</v>
      </c>
      <c r="H5">
        <v>11.95</v>
      </c>
      <c r="I5">
        <v>-0.27</v>
      </c>
      <c r="J5">
        <v>-0.35</v>
      </c>
      <c r="K5">
        <v>1909</v>
      </c>
      <c r="L5">
        <v>1134</v>
      </c>
      <c r="M5">
        <v>54</v>
      </c>
      <c r="N5">
        <v>25</v>
      </c>
      <c r="O5">
        <v>1000</v>
      </c>
      <c r="P5">
        <v>280</v>
      </c>
      <c r="Q5" t="s">
        <v>204</v>
      </c>
    </row>
    <row r="6" spans="1:17">
      <c r="A6" t="s">
        <v>320</v>
      </c>
      <c r="B6" t="s">
        <v>205</v>
      </c>
      <c r="C6" t="s">
        <v>206</v>
      </c>
      <c r="D6">
        <v>455</v>
      </c>
      <c r="E6">
        <v>51.6</v>
      </c>
      <c r="F6">
        <v>43.2</v>
      </c>
      <c r="G6">
        <v>11.2</v>
      </c>
      <c r="H6">
        <v>10.54</v>
      </c>
      <c r="I6">
        <v>-0.24</v>
      </c>
      <c r="J6">
        <v>-0.3</v>
      </c>
      <c r="K6">
        <v>1762</v>
      </c>
      <c r="L6">
        <v>1134</v>
      </c>
      <c r="M6">
        <v>47</v>
      </c>
      <c r="N6">
        <v>25</v>
      </c>
      <c r="O6">
        <v>1500</v>
      </c>
      <c r="P6">
        <v>210</v>
      </c>
      <c r="Q6" t="s">
        <v>204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3"/>
  <sheetViews>
    <sheetView workbookViewId="0">
      <selection activeCell="E20" sqref="E20"/>
    </sheetView>
  </sheetViews>
  <sheetFormatPr defaultRowHeight="14.25"/>
  <cols>
    <col min="1" max="1" width="7.25" bestFit="1" customWidth="1"/>
    <col min="2" max="2" width="11.5" bestFit="1" customWidth="1"/>
    <col min="3" max="3" width="16.25" bestFit="1" customWidth="1"/>
    <col min="4" max="4" width="10.75" bestFit="1" customWidth="1"/>
    <col min="5" max="5" width="11.25" bestFit="1" customWidth="1"/>
    <col min="6" max="6" width="12.25" bestFit="1" customWidth="1"/>
    <col min="7" max="7" width="20" bestFit="1" customWidth="1"/>
    <col min="8" max="8" width="14.25" bestFit="1" customWidth="1"/>
    <col min="9" max="9" width="11.25" bestFit="1" customWidth="1"/>
    <col min="10" max="10" width="12.125" bestFit="1" customWidth="1"/>
    <col min="11" max="11" width="10.25" bestFit="1" customWidth="1"/>
    <col min="12" max="12" width="12.625" bestFit="1" customWidth="1"/>
    <col min="13" max="13" width="8.875" bestFit="1" customWidth="1"/>
    <col min="14" max="14" width="45" bestFit="1" customWidth="1"/>
  </cols>
  <sheetData>
    <row r="1" spans="1:14">
      <c r="A1" t="s">
        <v>315</v>
      </c>
      <c r="B1" t="s">
        <v>180</v>
      </c>
      <c r="C1" t="s">
        <v>181</v>
      </c>
      <c r="D1" t="s">
        <v>303</v>
      </c>
      <c r="E1" t="s">
        <v>304</v>
      </c>
      <c r="F1" t="s">
        <v>305</v>
      </c>
      <c r="G1" t="s">
        <v>306</v>
      </c>
      <c r="H1" t="s">
        <v>307</v>
      </c>
      <c r="I1" t="s">
        <v>48</v>
      </c>
      <c r="J1" t="s">
        <v>75</v>
      </c>
      <c r="K1" t="s">
        <v>308</v>
      </c>
      <c r="L1" t="s">
        <v>309</v>
      </c>
      <c r="M1" t="s">
        <v>310</v>
      </c>
      <c r="N1" t="s">
        <v>121</v>
      </c>
    </row>
    <row r="2" spans="1:14">
      <c r="A2" t="s">
        <v>321</v>
      </c>
      <c r="B2" t="s">
        <v>311</v>
      </c>
      <c r="C2" t="s">
        <v>39</v>
      </c>
      <c r="D2">
        <v>150</v>
      </c>
      <c r="E2">
        <v>425</v>
      </c>
      <c r="F2">
        <v>500</v>
      </c>
      <c r="G2">
        <v>36</v>
      </c>
      <c r="H2">
        <v>54</v>
      </c>
      <c r="I2">
        <v>3</v>
      </c>
      <c r="J2">
        <v>2</v>
      </c>
      <c r="K2">
        <v>30</v>
      </c>
      <c r="L2">
        <v>18</v>
      </c>
      <c r="M2">
        <v>7900</v>
      </c>
      <c r="N2" t="s">
        <v>312</v>
      </c>
    </row>
    <row r="3" spans="1:14">
      <c r="A3" t="s">
        <v>322</v>
      </c>
      <c r="B3" t="s">
        <v>311</v>
      </c>
      <c r="C3" t="s">
        <v>313</v>
      </c>
      <c r="D3">
        <v>175</v>
      </c>
      <c r="E3">
        <v>425</v>
      </c>
      <c r="F3">
        <v>500</v>
      </c>
      <c r="G3">
        <v>26</v>
      </c>
      <c r="H3">
        <v>44</v>
      </c>
      <c r="I3">
        <v>3</v>
      </c>
      <c r="J3">
        <v>2</v>
      </c>
      <c r="K3">
        <v>19.5</v>
      </c>
      <c r="L3">
        <v>15</v>
      </c>
      <c r="M3">
        <v>6900</v>
      </c>
      <c r="N3" t="s">
        <v>314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5"/>
  <sheetViews>
    <sheetView workbookViewId="0"/>
  </sheetViews>
  <sheetFormatPr defaultRowHeight="14.25"/>
  <cols>
    <col min="1" max="1" width="8.125" bestFit="1" customWidth="1"/>
    <col min="2" max="2" width="11.5" bestFit="1" customWidth="1"/>
    <col min="3" max="3" width="18.125" bestFit="1" customWidth="1"/>
    <col min="4" max="4" width="9.25" bestFit="1" customWidth="1"/>
    <col min="5" max="5" width="10.75" bestFit="1" customWidth="1"/>
    <col min="6" max="6" width="9.125" bestFit="1" customWidth="1"/>
    <col min="7" max="7" width="10.625" bestFit="1" customWidth="1"/>
    <col min="8" max="8" width="13" bestFit="1" customWidth="1"/>
    <col min="9" max="9" width="15.375" bestFit="1" customWidth="1"/>
    <col min="10" max="10" width="6.625" bestFit="1" customWidth="1"/>
    <col min="11" max="11" width="8.5" bestFit="1" customWidth="1"/>
    <col min="12" max="12" width="21.625" bestFit="1" customWidth="1"/>
    <col min="13" max="13" width="43.375" bestFit="1" customWidth="1"/>
    <col min="14" max="14" width="15" bestFit="1" customWidth="1"/>
    <col min="15" max="15" width="49.75" bestFit="1" customWidth="1"/>
  </cols>
  <sheetData>
    <row r="1" spans="1:15">
      <c r="A1" t="s">
        <v>315</v>
      </c>
      <c r="B1" t="s">
        <v>180</v>
      </c>
      <c r="C1" t="s">
        <v>181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190</v>
      </c>
      <c r="L1" t="s">
        <v>214</v>
      </c>
      <c r="M1" t="s">
        <v>215</v>
      </c>
      <c r="N1" t="s">
        <v>216</v>
      </c>
      <c r="O1" t="s">
        <v>121</v>
      </c>
    </row>
    <row r="2" spans="1:15">
      <c r="A2" t="s">
        <v>323</v>
      </c>
      <c r="B2" t="s">
        <v>217</v>
      </c>
      <c r="C2" t="s">
        <v>42</v>
      </c>
      <c r="D2" t="s">
        <v>218</v>
      </c>
      <c r="E2">
        <v>16</v>
      </c>
      <c r="F2">
        <v>51.2</v>
      </c>
      <c r="G2">
        <v>314</v>
      </c>
      <c r="H2">
        <v>160</v>
      </c>
      <c r="I2">
        <v>160</v>
      </c>
      <c r="J2">
        <v>400</v>
      </c>
      <c r="K2">
        <v>330</v>
      </c>
      <c r="L2" t="s">
        <v>219</v>
      </c>
      <c r="M2" t="s">
        <v>220</v>
      </c>
      <c r="N2">
        <v>4900</v>
      </c>
      <c r="O2" t="s">
        <v>221</v>
      </c>
    </row>
    <row r="3" spans="1:15">
      <c r="A3" t="s">
        <v>324</v>
      </c>
      <c r="B3" t="s">
        <v>222</v>
      </c>
      <c r="C3" t="s">
        <v>223</v>
      </c>
      <c r="D3" t="s">
        <v>218</v>
      </c>
      <c r="E3">
        <v>16</v>
      </c>
      <c r="F3">
        <v>51.2</v>
      </c>
      <c r="G3">
        <v>314</v>
      </c>
      <c r="H3">
        <v>160</v>
      </c>
      <c r="I3">
        <v>160</v>
      </c>
      <c r="J3">
        <v>200</v>
      </c>
      <c r="K3">
        <v>320</v>
      </c>
      <c r="L3" t="s">
        <v>219</v>
      </c>
      <c r="M3" t="s">
        <v>224</v>
      </c>
      <c r="N3">
        <v>3700</v>
      </c>
      <c r="O3" t="s">
        <v>225</v>
      </c>
    </row>
    <row r="4" spans="1:15">
      <c r="A4" t="s">
        <v>325</v>
      </c>
      <c r="B4" t="s">
        <v>226</v>
      </c>
      <c r="C4" t="s">
        <v>227</v>
      </c>
      <c r="D4" t="s">
        <v>218</v>
      </c>
      <c r="E4">
        <v>19.2</v>
      </c>
      <c r="F4">
        <v>51.2</v>
      </c>
      <c r="G4">
        <v>375</v>
      </c>
      <c r="H4">
        <v>200</v>
      </c>
      <c r="I4">
        <v>200</v>
      </c>
      <c r="J4">
        <v>300</v>
      </c>
      <c r="K4">
        <v>500</v>
      </c>
      <c r="L4" t="s">
        <v>219</v>
      </c>
      <c r="M4" t="s">
        <v>224</v>
      </c>
      <c r="N4">
        <v>7200</v>
      </c>
      <c r="O4" t="s">
        <v>228</v>
      </c>
    </row>
    <row r="5" spans="1:15">
      <c r="A5" t="s">
        <v>326</v>
      </c>
      <c r="B5" t="s">
        <v>229</v>
      </c>
      <c r="C5" t="s">
        <v>230</v>
      </c>
      <c r="D5" t="s">
        <v>218</v>
      </c>
      <c r="E5">
        <v>16</v>
      </c>
      <c r="F5">
        <v>51.2</v>
      </c>
      <c r="G5">
        <v>314</v>
      </c>
      <c r="H5">
        <v>160</v>
      </c>
      <c r="I5">
        <v>160</v>
      </c>
      <c r="J5">
        <v>200</v>
      </c>
      <c r="K5">
        <v>320</v>
      </c>
      <c r="L5" t="s">
        <v>231</v>
      </c>
      <c r="M5" t="s">
        <v>224</v>
      </c>
      <c r="N5">
        <v>5200</v>
      </c>
      <c r="O5" t="s">
        <v>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8"/>
  <sheetViews>
    <sheetView workbookViewId="0">
      <selection activeCell="D11" sqref="D11"/>
    </sheetView>
  </sheetViews>
  <sheetFormatPr defaultRowHeight="14.25"/>
  <cols>
    <col min="1" max="1" width="10.5" customWidth="1"/>
    <col min="2" max="2" width="9.875" bestFit="1" customWidth="1"/>
    <col min="3" max="3" width="11.25" bestFit="1" customWidth="1"/>
    <col min="4" max="4" width="16" customWidth="1"/>
    <col min="5" max="5" width="6.875" customWidth="1"/>
    <col min="28" max="28" width="22" bestFit="1" customWidth="1"/>
    <col min="31" max="31" width="16.25" bestFit="1" customWidth="1"/>
    <col min="34" max="34" width="16.25" bestFit="1" customWidth="1"/>
    <col min="40" max="40" width="16.875" bestFit="1" customWidth="1"/>
  </cols>
  <sheetData>
    <row r="1" spans="1:41">
      <c r="A1" t="s">
        <v>233</v>
      </c>
      <c r="B1" t="s">
        <v>49</v>
      </c>
      <c r="C1" t="s">
        <v>53</v>
      </c>
      <c r="D1" t="s">
        <v>78</v>
      </c>
      <c r="E1" t="s">
        <v>93</v>
      </c>
      <c r="AA1" t="s">
        <v>328</v>
      </c>
      <c r="AB1" t="s">
        <v>35</v>
      </c>
      <c r="AD1" t="s">
        <v>329</v>
      </c>
      <c r="AE1" t="s">
        <v>330</v>
      </c>
      <c r="AG1" t="s">
        <v>331</v>
      </c>
      <c r="AH1" t="s">
        <v>332</v>
      </c>
    </row>
    <row r="2" spans="1:41">
      <c r="A2" t="s">
        <v>85</v>
      </c>
      <c r="B2" t="s">
        <v>50</v>
      </c>
      <c r="C2" t="s">
        <v>327</v>
      </c>
      <c r="D2" t="s">
        <v>79</v>
      </c>
      <c r="E2" t="s">
        <v>96</v>
      </c>
      <c r="AA2" t="s">
        <v>316</v>
      </c>
      <c r="AB2" t="s">
        <v>36</v>
      </c>
      <c r="AD2" t="s">
        <v>321</v>
      </c>
      <c r="AE2" t="s">
        <v>39</v>
      </c>
      <c r="AG2" t="s">
        <v>323</v>
      </c>
      <c r="AH2" t="s">
        <v>42</v>
      </c>
      <c r="AN2" t="s">
        <v>333</v>
      </c>
      <c r="AO2" t="s">
        <v>316</v>
      </c>
    </row>
    <row r="3" spans="1:41">
      <c r="A3" t="s">
        <v>86</v>
      </c>
      <c r="B3" t="s">
        <v>125</v>
      </c>
      <c r="C3" t="s">
        <v>234</v>
      </c>
      <c r="D3" t="s">
        <v>235</v>
      </c>
      <c r="E3" t="s">
        <v>99</v>
      </c>
      <c r="AA3" t="s">
        <v>317</v>
      </c>
      <c r="AB3" t="s">
        <v>198</v>
      </c>
      <c r="AD3" t="s">
        <v>322</v>
      </c>
      <c r="AE3" t="s">
        <v>313</v>
      </c>
      <c r="AG3" t="s">
        <v>324</v>
      </c>
      <c r="AH3" t="s">
        <v>223</v>
      </c>
      <c r="AN3" t="s">
        <v>334</v>
      </c>
      <c r="AO3" t="s">
        <v>321</v>
      </c>
    </row>
    <row r="4" spans="1:41">
      <c r="A4" t="s">
        <v>87</v>
      </c>
      <c r="C4" t="s">
        <v>236</v>
      </c>
      <c r="E4" t="s">
        <v>102</v>
      </c>
      <c r="AA4" t="s">
        <v>318</v>
      </c>
      <c r="AB4" t="s">
        <v>201</v>
      </c>
      <c r="AG4" t="s">
        <v>325</v>
      </c>
      <c r="AH4" t="s">
        <v>227</v>
      </c>
      <c r="AN4" t="s">
        <v>335</v>
      </c>
      <c r="AO4" t="s">
        <v>323</v>
      </c>
    </row>
    <row r="5" spans="1:41">
      <c r="A5" t="s">
        <v>88</v>
      </c>
      <c r="AA5" t="s">
        <v>319</v>
      </c>
      <c r="AB5" t="s">
        <v>203</v>
      </c>
      <c r="AG5" t="s">
        <v>326</v>
      </c>
      <c r="AH5" t="s">
        <v>230</v>
      </c>
    </row>
    <row r="6" spans="1:41">
      <c r="A6" t="s">
        <v>89</v>
      </c>
      <c r="AA6" t="s">
        <v>320</v>
      </c>
      <c r="AB6" t="s">
        <v>206</v>
      </c>
    </row>
    <row r="7" spans="1:41">
      <c r="A7" t="s">
        <v>90</v>
      </c>
    </row>
    <row r="8" spans="1:41">
      <c r="A8" t="s">
        <v>237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Q60"/>
  <sheetViews>
    <sheetView workbookViewId="0"/>
  </sheetViews>
  <sheetFormatPr defaultRowHeight="14.25"/>
  <cols>
    <col min="1" max="3" width="25" customWidth="1"/>
    <col min="4" max="4" width="60" customWidth="1"/>
  </cols>
  <sheetData>
    <row r="1" spans="1:17" ht="39">
      <c r="A1" s="9" t="s">
        <v>238</v>
      </c>
      <c r="B1" s="5"/>
      <c r="C1" s="5"/>
      <c r="D1" s="5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5">
      <c r="A3" s="3" t="s">
        <v>239</v>
      </c>
      <c r="B3" s="3" t="s">
        <v>162</v>
      </c>
      <c r="C3" s="3" t="s">
        <v>240</v>
      </c>
      <c r="D3" s="3" t="s">
        <v>241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>
      <c r="A4" s="2" t="s">
        <v>242</v>
      </c>
      <c r="B4" s="2" t="s">
        <v>243</v>
      </c>
      <c r="C4" s="2" t="s">
        <v>244</v>
      </c>
      <c r="D4" s="2" t="s">
        <v>245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>
      <c r="A5" s="2" t="s">
        <v>242</v>
      </c>
      <c r="B5" s="2" t="s">
        <v>6</v>
      </c>
      <c r="C5" s="2" t="s">
        <v>246</v>
      </c>
      <c r="D5" s="2" t="s">
        <v>247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>
      <c r="A6" s="2" t="s">
        <v>242</v>
      </c>
      <c r="B6" s="2" t="s">
        <v>248</v>
      </c>
      <c r="C6" s="2" t="s">
        <v>249</v>
      </c>
      <c r="D6" s="2" t="s">
        <v>250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>
      <c r="A7" s="2" t="s">
        <v>242</v>
      </c>
      <c r="B7" s="2" t="s">
        <v>251</v>
      </c>
      <c r="C7" s="2" t="s">
        <v>252</v>
      </c>
      <c r="D7" s="2" t="s">
        <v>253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>
      <c r="A8" s="2" t="s">
        <v>242</v>
      </c>
      <c r="B8" s="2" t="s">
        <v>254</v>
      </c>
      <c r="C8" s="2" t="s">
        <v>255</v>
      </c>
      <c r="D8" s="2" t="s">
        <v>256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5">
      <c r="A10" s="36" t="s">
        <v>257</v>
      </c>
      <c r="B10" s="36"/>
      <c r="C10" s="36"/>
      <c r="D10" s="36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>
      <c r="A11" s="2" t="s">
        <v>258</v>
      </c>
      <c r="B11" s="2" t="s">
        <v>259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>
      <c r="A12" s="2" t="s">
        <v>260</v>
      </c>
      <c r="B12" s="2" t="s">
        <v>261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>
      <c r="A13" s="2" t="s">
        <v>262</v>
      </c>
      <c r="B13" s="2" t="s">
        <v>263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>
      <c r="A14" s="2" t="s">
        <v>264</v>
      </c>
      <c r="B14" s="2" t="s">
        <v>265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1"/>
  <sheetViews>
    <sheetView workbookViewId="0"/>
  </sheetViews>
  <sheetFormatPr defaultRowHeight="14.25"/>
  <cols>
    <col min="1" max="1" width="32" customWidth="1"/>
    <col min="2" max="2" width="46" customWidth="1"/>
    <col min="3" max="3" width="18" customWidth="1"/>
    <col min="4" max="4" width="52" customWidth="1"/>
  </cols>
  <sheetData>
    <row r="1" spans="1:4" ht="36">
      <c r="A1" s="35" t="s">
        <v>266</v>
      </c>
      <c r="B1" s="35"/>
      <c r="C1" s="35"/>
      <c r="D1" s="35"/>
    </row>
    <row r="2" spans="1:4">
      <c r="A2" t="s">
        <v>267</v>
      </c>
      <c r="B2" t="s">
        <v>268</v>
      </c>
    </row>
    <row r="3" spans="1:4">
      <c r="A3" t="s">
        <v>269</v>
      </c>
      <c r="B3" t="s">
        <v>270</v>
      </c>
    </row>
    <row r="4" spans="1:4">
      <c r="A4" t="s">
        <v>271</v>
      </c>
      <c r="B4" t="s">
        <v>272</v>
      </c>
    </row>
    <row r="6" spans="1:4" ht="15">
      <c r="A6" s="34" t="s">
        <v>273</v>
      </c>
      <c r="B6" s="34" t="s">
        <v>274</v>
      </c>
      <c r="C6" s="34" t="s">
        <v>275</v>
      </c>
      <c r="D6" s="34" t="s">
        <v>121</v>
      </c>
    </row>
    <row r="7" spans="1:4">
      <c r="A7" t="s">
        <v>276</v>
      </c>
      <c r="B7" t="s">
        <v>277</v>
      </c>
      <c r="C7" t="s">
        <v>278</v>
      </c>
      <c r="D7" t="s">
        <v>279</v>
      </c>
    </row>
    <row r="8" spans="1:4">
      <c r="A8" t="s">
        <v>280</v>
      </c>
      <c r="B8" t="s">
        <v>281</v>
      </c>
      <c r="C8" t="s">
        <v>278</v>
      </c>
      <c r="D8" t="s">
        <v>282</v>
      </c>
    </row>
    <row r="9" spans="1:4">
      <c r="A9" t="s">
        <v>283</v>
      </c>
      <c r="B9" t="s">
        <v>284</v>
      </c>
      <c r="C9" t="s">
        <v>278</v>
      </c>
      <c r="D9" t="s">
        <v>285</v>
      </c>
    </row>
    <row r="10" spans="1:4">
      <c r="A10" t="s">
        <v>286</v>
      </c>
      <c r="B10" t="s">
        <v>287</v>
      </c>
      <c r="C10" t="s">
        <v>278</v>
      </c>
      <c r="D10" t="s">
        <v>288</v>
      </c>
    </row>
    <row r="12" spans="1:4" ht="15">
      <c r="A12" s="34" t="s">
        <v>289</v>
      </c>
      <c r="B12" s="34"/>
      <c r="C12" s="34"/>
      <c r="D12" s="34"/>
    </row>
    <row r="13" spans="1:4">
      <c r="A13" t="s">
        <v>290</v>
      </c>
      <c r="B13" t="s">
        <v>291</v>
      </c>
    </row>
    <row r="14" spans="1:4">
      <c r="A14" t="s">
        <v>292</v>
      </c>
      <c r="B14" t="s">
        <v>293</v>
      </c>
    </row>
    <row r="15" spans="1:4">
      <c r="A15" t="s">
        <v>294</v>
      </c>
      <c r="B15" t="s">
        <v>295</v>
      </c>
    </row>
    <row r="16" spans="1:4">
      <c r="A16" t="s">
        <v>296</v>
      </c>
      <c r="B16" t="s">
        <v>297</v>
      </c>
    </row>
    <row r="18" spans="1:4" ht="15">
      <c r="A18" s="34" t="s">
        <v>298</v>
      </c>
      <c r="B18" s="34" t="s">
        <v>299</v>
      </c>
      <c r="C18" s="34"/>
      <c r="D18" s="34"/>
    </row>
    <row r="19" spans="1:4">
      <c r="B19" t="s">
        <v>300</v>
      </c>
    </row>
    <row r="20" spans="1:4">
      <c r="B20" t="s">
        <v>301</v>
      </c>
    </row>
    <row r="21" spans="1:4">
      <c r="B21" t="s">
        <v>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01_Dashboard</vt:lpstr>
      <vt:lpstr>02_Build</vt:lpstr>
      <vt:lpstr>03_Layout_Designer</vt:lpstr>
      <vt:lpstr>04_Shade_Optimizer</vt:lpstr>
      <vt:lpstr>05_Design_Review</vt:lpstr>
      <vt:lpstr>DB_Panels</vt:lpstr>
      <vt:lpstr>DB_Inverters</vt:lpstr>
      <vt:lpstr>DB_Batteries</vt:lpstr>
      <vt:lpstr>DB_Lists</vt:lpstr>
      <vt:lpstr>Notes</vt:lpstr>
      <vt:lpstr>00_CSV_Import</vt:lpstr>
      <vt:lpstr>BatteryList</vt:lpstr>
      <vt:lpstr>InverterList</vt:lpstr>
      <vt:lpstr>MountTypeList</vt:lpstr>
      <vt:lpstr>MpptModeList</vt:lpstr>
      <vt:lpstr>OrientationList</vt:lpstr>
      <vt:lpstr>PanelList</vt:lpstr>
      <vt:lpstr>PanelsPerString</vt:lpstr>
      <vt:lpstr>SelectedBatteryID</vt:lpstr>
      <vt:lpstr>SelectedInverterID</vt:lpstr>
      <vt:lpstr>SelectedPanelID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Silveus</dc:creator>
  <cp:lastModifiedBy>Michael Silveus</cp:lastModifiedBy>
  <cp:lastPrinted>2026-07-09T03:08:06Z</cp:lastPrinted>
  <dcterms:created xsi:type="dcterms:W3CDTF">2026-06-30T23:46:35Z</dcterms:created>
  <dcterms:modified xsi:type="dcterms:W3CDTF">2026-07-14T23:03:27Z</dcterms:modified>
</cp:coreProperties>
</file>