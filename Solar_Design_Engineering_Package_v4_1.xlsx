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micha\Documents\SolarSystem\"/>
    </mc:Choice>
  </mc:AlternateContent>
  <xr:revisionPtr revIDLastSave="0" documentId="13_ncr:1_{026B9ABB-37DA-43CC-9987-C8B2AF611FBB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01_Dashboard" sheetId="1" r:id="rId1"/>
    <sheet name="02_Build" sheetId="2" r:id="rId2"/>
    <sheet name="03_Layout_Designer" sheetId="3" r:id="rId3"/>
    <sheet name="04_Shade_Optimizer" sheetId="4" r:id="rId4"/>
    <sheet name="05_Design_Review" sheetId="5" r:id="rId5"/>
    <sheet name="DB_Panels" sheetId="6" r:id="rId6"/>
    <sheet name="DB_Inverters" sheetId="7" r:id="rId7"/>
    <sheet name="DB_Batteries" sheetId="8" r:id="rId8"/>
    <sheet name="DB_Lists" sheetId="9" r:id="rId9"/>
    <sheet name="Notes" sheetId="10" r:id="rId10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9" i="1" l="1"/>
  <c r="H10" i="4"/>
  <c r="F10" i="4"/>
  <c r="G10" i="4" s="1"/>
  <c r="H9" i="4"/>
  <c r="F9" i="4"/>
  <c r="G9" i="4" s="1"/>
  <c r="H8" i="4"/>
  <c r="F8" i="4"/>
  <c r="G8" i="4" s="1"/>
  <c r="H7" i="4"/>
  <c r="F7" i="4"/>
  <c r="G7" i="4" s="1"/>
  <c r="H6" i="4"/>
  <c r="F6" i="4"/>
  <c r="G6" i="4" s="1"/>
  <c r="H5" i="4"/>
  <c r="F5" i="4"/>
  <c r="G5" i="4" s="1"/>
  <c r="E20" i="3"/>
  <c r="E19" i="3"/>
  <c r="E18" i="3"/>
  <c r="E17" i="3"/>
  <c r="B8" i="3"/>
  <c r="B7" i="3"/>
  <c r="B6" i="3"/>
  <c r="B5" i="3"/>
  <c r="B4" i="3"/>
  <c r="D21" i="2"/>
  <c r="F21" i="2"/>
  <c r="D20" i="2"/>
  <c r="F11" i="2" s="1"/>
  <c r="B11" i="1" s="1"/>
  <c r="D19" i="2"/>
  <c r="D18" i="2"/>
  <c r="J8" i="2" s="1"/>
  <c r="D17" i="2"/>
  <c r="I7" i="2" s="1"/>
  <c r="D16" i="2"/>
  <c r="I6" i="2" s="1"/>
  <c r="D15" i="2"/>
  <c r="I5" i="2" s="1"/>
  <c r="D14" i="2"/>
  <c r="D13" i="2"/>
  <c r="D12" i="2"/>
  <c r="D11" i="2"/>
  <c r="F14" i="2" s="1"/>
  <c r="D10" i="2"/>
  <c r="F15" i="2" s="1"/>
  <c r="D9" i="2"/>
  <c r="H8" i="2"/>
  <c r="D8" i="2"/>
  <c r="F8" i="2" s="1"/>
  <c r="D7" i="2"/>
  <c r="F9" i="2" s="1"/>
  <c r="D6" i="2"/>
  <c r="F6" i="2" s="1"/>
  <c r="H4" i="2" s="1"/>
  <c r="D5" i="2"/>
  <c r="D4" i="2"/>
  <c r="F4" i="2"/>
  <c r="B8" i="1"/>
  <c r="B7" i="1"/>
  <c r="B6" i="1"/>
  <c r="B5" i="1"/>
  <c r="B4" i="1"/>
  <c r="J4" i="2" l="1"/>
  <c r="C4" i="5" s="1"/>
  <c r="F16" i="2"/>
  <c r="B9" i="3" s="1"/>
  <c r="G18" i="3"/>
  <c r="H18" i="3"/>
  <c r="F7" i="2"/>
  <c r="H5" i="2" s="1"/>
  <c r="J7" i="2"/>
  <c r="C7" i="5" s="1"/>
  <c r="F19" i="3"/>
  <c r="F20" i="3"/>
  <c r="I4" i="2"/>
  <c r="F17" i="3"/>
  <c r="G15" i="4"/>
  <c r="G14" i="4"/>
  <c r="G13" i="4"/>
  <c r="F5" i="2"/>
  <c r="B10" i="1" s="1"/>
  <c r="F12" i="2"/>
  <c r="B12" i="1" s="1"/>
  <c r="H6" i="2"/>
  <c r="J6" i="2"/>
  <c r="C6" i="5" s="1"/>
  <c r="H20" i="3"/>
  <c r="G20" i="3"/>
  <c r="F18" i="3"/>
  <c r="H17" i="3"/>
  <c r="G17" i="3"/>
  <c r="H19" i="3"/>
  <c r="G19" i="3"/>
  <c r="F17" i="2"/>
  <c r="I8" i="2"/>
  <c r="F10" i="2"/>
  <c r="H7" i="2"/>
  <c r="F20" i="2" l="1"/>
  <c r="B13" i="1" s="1"/>
  <c r="J5" i="2"/>
  <c r="C5" i="5" s="1"/>
  <c r="F13" i="2"/>
  <c r="B10" i="3"/>
  <c r="F19" i="2"/>
  <c r="B12" i="3" s="1"/>
  <c r="F18" i="2"/>
  <c r="B11" i="3" s="1"/>
  <c r="D4" i="1" l="1"/>
</calcChain>
</file>

<file path=xl/sharedStrings.xml><?xml version="1.0" encoding="utf-8"?>
<sst xmlns="http://schemas.openxmlformats.org/spreadsheetml/2006/main" count="452" uniqueCount="272">
  <si>
    <t>SOLAR DESIGN ENGINEERING PACKAGE — DASHBOARD</t>
  </si>
  <si>
    <t>Current Design</t>
  </si>
  <si>
    <t>Design Status</t>
  </si>
  <si>
    <t>Project</t>
  </si>
  <si>
    <t>Electrical</t>
  </si>
  <si>
    <t>Panel</t>
  </si>
  <si>
    <t>Layout</t>
  </si>
  <si>
    <t>Column-based strings</t>
  </si>
  <si>
    <t>Inverter</t>
  </si>
  <si>
    <t>Shade</t>
  </si>
  <si>
    <t>First-pass model</t>
  </si>
  <si>
    <t>Battery</t>
  </si>
  <si>
    <t>Cost</t>
  </si>
  <si>
    <t>Hardware estimate only</t>
  </si>
  <si>
    <t>Battery Qty</t>
  </si>
  <si>
    <t>Mechanical</t>
  </si>
  <si>
    <t>Engineer review required</t>
  </si>
  <si>
    <t>Array Layout</t>
  </si>
  <si>
    <t>Next Step</t>
  </si>
  <si>
    <t>Validate rack height/wind loading</t>
  </si>
  <si>
    <t>DC Array kW</t>
  </si>
  <si>
    <t>Battery Storage kWh</t>
  </si>
  <si>
    <t>Estimated Hardware $</t>
  </si>
  <si>
    <t>Electrical Status</t>
  </si>
  <si>
    <t>SOLAR DESIGN ENGINEERING PACKAGE — BUILD PAGE v4.0</t>
  </si>
  <si>
    <t>Design Inputs</t>
  </si>
  <si>
    <t>Live Engineering Summary</t>
  </si>
  <si>
    <t>Selected Equipment Values</t>
  </si>
  <si>
    <t>44755 Savage Rd, Coarsegold CA</t>
  </si>
  <si>
    <t>Total Panels</t>
  </si>
  <si>
    <t>Check</t>
  </si>
  <si>
    <t>Calculated</t>
  </si>
  <si>
    <t>Limit</t>
  </si>
  <si>
    <t>Status</t>
  </si>
  <si>
    <t>Panel W</t>
  </si>
  <si>
    <t>Panel Model</t>
  </si>
  <si>
    <t>REC Alpha Pure-RX 460</t>
  </si>
  <si>
    <t>String Vmp</t>
  </si>
  <si>
    <t>Panel Voc</t>
  </si>
  <si>
    <t>Sol-Ark 18K-2P-LV</t>
  </si>
  <si>
    <t>Cold Voc</t>
  </si>
  <si>
    <t>Panel Vmp</t>
  </si>
  <si>
    <t>Discover Helios ESS</t>
  </si>
  <si>
    <t>Cold String Voc</t>
  </si>
  <si>
    <t>MPPT Current</t>
  </si>
  <si>
    <t>Panel Isc</t>
  </si>
  <si>
    <t>MPPT Operating Current</t>
  </si>
  <si>
    <t>MPPT Isc</t>
  </si>
  <si>
    <t>Panel Imp</t>
  </si>
  <si>
    <t>Orientation</t>
  </si>
  <si>
    <t>Portrait</t>
  </si>
  <si>
    <t>MPPT Short-Circuit Current</t>
  </si>
  <si>
    <t>MPPT Count</t>
  </si>
  <si>
    <t>Voc Temp %/C</t>
  </si>
  <si>
    <t>Mount Type</t>
  </si>
  <si>
    <t>Single Mount</t>
  </si>
  <si>
    <t>Power per MPPT kW</t>
  </si>
  <si>
    <t>Panel Length ft</t>
  </si>
  <si>
    <t>Rows High</t>
  </si>
  <si>
    <t>Panel Width ft</t>
  </si>
  <si>
    <t>Columns Wide</t>
  </si>
  <si>
    <t>Panel Cost</t>
  </si>
  <si>
    <t>Banks</t>
  </si>
  <si>
    <t>Cost per DC Watt</t>
  </si>
  <si>
    <t>Inv MPPT Min</t>
  </si>
  <si>
    <t>Tilt °</t>
  </si>
  <si>
    <t>Inv MPPT Max</t>
  </si>
  <si>
    <t>Azimuth °</t>
  </si>
  <si>
    <t>Inv Max Voc</t>
  </si>
  <si>
    <t>Design Temp °C</t>
  </si>
  <si>
    <t>Array Width ft</t>
  </si>
  <si>
    <t>Inv Max Op A</t>
  </si>
  <si>
    <t>Panels/String</t>
  </si>
  <si>
    <t>Sloped Array Height ft</t>
  </si>
  <si>
    <t>Inv Max Isc A</t>
  </si>
  <si>
    <t>Total Strings</t>
  </si>
  <si>
    <t>Ground Depth ft</t>
  </si>
  <si>
    <t>Inv MPPT Count</t>
  </si>
  <si>
    <t>Strings/MPPT</t>
  </si>
  <si>
    <t>Rear Edge Rise ft</t>
  </si>
  <si>
    <t>Inv Cost</t>
  </si>
  <si>
    <t>MPPT Mode</t>
  </si>
  <si>
    <t>Symmetric Pairing</t>
  </si>
  <si>
    <t>Battery kWh</t>
  </si>
  <si>
    <t>BOS Estimate $</t>
  </si>
  <si>
    <t>Layout Note</t>
  </si>
  <si>
    <t>Battery Cost</t>
  </si>
  <si>
    <t>Visual Array Builder — default 3×12 column strings (change string IDs in cells)</t>
  </si>
  <si>
    <t>S1</t>
  </si>
  <si>
    <t>S2</t>
  </si>
  <si>
    <t>S3</t>
  </si>
  <si>
    <t>S4</t>
  </si>
  <si>
    <t>S5</t>
  </si>
  <si>
    <t>S6</t>
  </si>
  <si>
    <t>String</t>
  </si>
  <si>
    <t>Physical Zone</t>
  </si>
  <si>
    <t>MPPT</t>
  </si>
  <si>
    <t>Shade Pairing Rationale</t>
  </si>
  <si>
    <t>West edge columns 1-2</t>
  </si>
  <si>
    <t>MPPT1</t>
  </si>
  <si>
    <t>Pair west edge with east edge</t>
  </si>
  <si>
    <t>West-center columns 3-4</t>
  </si>
  <si>
    <t>MPPT2</t>
  </si>
  <si>
    <t>Pair symmetric inward zones</t>
  </si>
  <si>
    <t>Center-west columns 5-6</t>
  </si>
  <si>
    <t>MPPT3</t>
  </si>
  <si>
    <t>Pair center strings</t>
  </si>
  <si>
    <t>Design rationale: default strings are vertical column groups so east/west tree shadows tend to affect one string group at a time rather than clipping every row simultaneously. MPPT pairs are symmetric west/east to reduce the chance that a single edge shadow drags down both strings on the same tracker.</t>
  </si>
  <si>
    <t>Center-east columns 7-8</t>
  </si>
  <si>
    <t>East-center columns 9-10</t>
  </si>
  <si>
    <t>East edge columns 11-12</t>
  </si>
  <si>
    <t>Pair east edge with west edge</t>
  </si>
  <si>
    <t>LAYOUT DESIGNER — Mechanical + Electrical Topology</t>
  </si>
  <si>
    <t>Inputs linked from Build</t>
  </si>
  <si>
    <t>Panel Map / String Topology</t>
  </si>
  <si>
    <t>Sloped Height ft</t>
  </si>
  <si>
    <t>Rear Rise ft</t>
  </si>
  <si>
    <t>Layout Comparisons</t>
  </si>
  <si>
    <t>Option</t>
  </si>
  <si>
    <t>Rows</t>
  </si>
  <si>
    <t>Cols</t>
  </si>
  <si>
    <t>Panels</t>
  </si>
  <si>
    <t>Width ft</t>
  </si>
  <si>
    <t>String Fit</t>
  </si>
  <si>
    <t>Notes</t>
  </si>
  <si>
    <t>3×12 single mount</t>
  </si>
  <si>
    <t>Clean 6 strings</t>
  </si>
  <si>
    <t>Compact width; taller rear edge</t>
  </si>
  <si>
    <t>Landscape</t>
  </si>
  <si>
    <t>Lower rear edge; wider footprint</t>
  </si>
  <si>
    <t>2×18 single mount</t>
  </si>
  <si>
    <t>Awkward with 6-panel column strings</t>
  </si>
  <si>
    <t>Lower but wider; strings may traverse zones</t>
  </si>
  <si>
    <t>2 banks of 2×9</t>
  </si>
  <si>
    <t>Likely awkward string crossing</t>
  </si>
  <si>
    <t>Needs bank spacing; less desirable electrically</t>
  </si>
  <si>
    <t>SHADE OPTIMIZER — First Iteration / Conceptual Model</t>
  </si>
  <si>
    <t>Shade Inputs</t>
  </si>
  <si>
    <t>String Impact Estimate</t>
  </si>
  <si>
    <t>Time Scenario</t>
  </si>
  <si>
    <t>Morning West Edge</t>
  </si>
  <si>
    <t>Columns</t>
  </si>
  <si>
    <t>Shade Hit?</t>
  </si>
  <si>
    <t>Est Power %</t>
  </si>
  <si>
    <t>Assigned MPPT</t>
  </si>
  <si>
    <t>Shadowed Columns</t>
  </si>
  <si>
    <t>1-2</t>
  </si>
  <si>
    <t>Power of shaded panel/string %</t>
  </si>
  <si>
    <t>3-4</t>
  </si>
  <si>
    <t>Unshaded power %</t>
  </si>
  <si>
    <t>5-6</t>
  </si>
  <si>
    <t>String strategy</t>
  </si>
  <si>
    <t>Column Groups</t>
  </si>
  <si>
    <t>7-8</t>
  </si>
  <si>
    <t>9-10</t>
  </si>
  <si>
    <t>11-12</t>
  </si>
  <si>
    <t>String A</t>
  </si>
  <si>
    <t>String B</t>
  </si>
  <si>
    <t>Avg Power %</t>
  </si>
  <si>
    <t>Comment</t>
  </si>
  <si>
    <t>Symmetric edge pairing</t>
  </si>
  <si>
    <t>Symmetric mid pairing</t>
  </si>
  <si>
    <t>Center pairing</t>
  </si>
  <si>
    <t>This is a first-pass shade model. It is not a production simulator yet. Its purpose is to compare string topologies under edge-shadow behavior. Next iteration can add tree distance/height, solar azimuth, and a time slider.</t>
  </si>
  <si>
    <t>DESIGN REVIEW CHECKLIST</t>
  </si>
  <si>
    <t>Area</t>
  </si>
  <si>
    <t>String Vmp inside MPPT range</t>
  </si>
  <si>
    <t>Cold Voc below inverter max</t>
  </si>
  <si>
    <t>MPPT operating current below max</t>
  </si>
  <si>
    <t>MPPT Isc below max</t>
  </si>
  <si>
    <t>Column-based strings selected</t>
  </si>
  <si>
    <t>PASS</t>
  </si>
  <si>
    <t>Chosen for east/west edge-shadow tolerance</t>
  </si>
  <si>
    <t>3×12 single mount under review</t>
  </si>
  <si>
    <t>REVIEW</t>
  </si>
  <si>
    <t>Verify rear-edge height/wind load with engineer</t>
  </si>
  <si>
    <t>Battery integration</t>
  </si>
  <si>
    <t>Confirm Discover/Sol-Ark firmware and wiring kit</t>
  </si>
  <si>
    <t>Foundation/racking</t>
  </si>
  <si>
    <t>Requires structural engineer</t>
  </si>
  <si>
    <t>Site</t>
  </si>
  <si>
    <t>Tree removal/shading</t>
  </si>
  <si>
    <t>Measure tree heights and sun window after escrow</t>
  </si>
  <si>
    <t>Manufacturer</t>
  </si>
  <si>
    <t>Model</t>
  </si>
  <si>
    <t>STC W</t>
  </si>
  <si>
    <t>Voc V</t>
  </si>
  <si>
    <t>Vmp V</t>
  </si>
  <si>
    <t>Isc A</t>
  </si>
  <si>
    <t>Imp A</t>
  </si>
  <si>
    <t>Pmax Temp %/C</t>
  </si>
  <si>
    <t>Length mm</t>
  </si>
  <si>
    <t>Width mm</t>
  </si>
  <si>
    <t>Weight lb</t>
  </si>
  <si>
    <t>Series Fuse A</t>
  </si>
  <si>
    <t>Max System V</t>
  </si>
  <si>
    <t>Ballpark $/panel</t>
  </si>
  <si>
    <t>Source/Notes</t>
  </si>
  <si>
    <t>REC</t>
  </si>
  <si>
    <t>Verify against current REC datasheet before purchase</t>
  </si>
  <si>
    <t>Qcells</t>
  </si>
  <si>
    <t>Q.TRON BLK M-G2+ 430</t>
  </si>
  <si>
    <t>Placeholder/current-market candidate; verify datasheet</t>
  </si>
  <si>
    <t>Canadian Solar</t>
  </si>
  <si>
    <t>HiKu6 455</t>
  </si>
  <si>
    <t>Silfab</t>
  </si>
  <si>
    <t>SIL-460/470</t>
  </si>
  <si>
    <t>Placeholder; verify exact model</t>
  </si>
  <si>
    <t>Trina</t>
  </si>
  <si>
    <t>Vertex S+ 455</t>
  </si>
  <si>
    <t>MPPT Min V</t>
  </si>
  <si>
    <t>MPPT Max V</t>
  </si>
  <si>
    <t>PV Max Voc V</t>
  </si>
  <si>
    <t>Max Operating A/MPPT</t>
  </si>
  <si>
    <t>Max Isc A/MPPT</t>
  </si>
  <si>
    <t>Max PV kW</t>
  </si>
  <si>
    <t>AC Output kW</t>
  </si>
  <si>
    <t>Ballpark $</t>
  </si>
  <si>
    <t>Sol-Ark</t>
  </si>
  <si>
    <t>Use current Sol-Ark manual/datasheet for final design</t>
  </si>
  <si>
    <t>Sol-Ark 15K</t>
  </si>
  <si>
    <t>Older/common baseline; verify manual</t>
  </si>
  <si>
    <t>Chemistry</t>
  </si>
  <si>
    <t>Usable kWh</t>
  </si>
  <si>
    <t>Nominal V</t>
  </si>
  <si>
    <t>Capacity Ah</t>
  </si>
  <si>
    <t>Cont Charge A</t>
  </si>
  <si>
    <t>Cont Discharge A</t>
  </si>
  <si>
    <t>Peak A</t>
  </si>
  <si>
    <t>Closed Loop with Sol-Ark</t>
  </si>
  <si>
    <t>Comm/Interface</t>
  </si>
  <si>
    <t>Ballpark $/battery</t>
  </si>
  <si>
    <t>Discover</t>
  </si>
  <si>
    <t>LiFePO4</t>
  </si>
  <si>
    <t>Yes</t>
  </si>
  <si>
    <t>Closed-loop / LYNK or native per current integration</t>
  </si>
  <si>
    <t>Preferred current candidate; verify integration kit/firmware</t>
  </si>
  <si>
    <t>Pytes</t>
  </si>
  <si>
    <t>Pytes V16</t>
  </si>
  <si>
    <t>CAN/RS485</t>
  </si>
  <si>
    <t>Strong alternative; verify listing with installer</t>
  </si>
  <si>
    <t>HomeGrid</t>
  </si>
  <si>
    <t>Stack'd Series 19.2</t>
  </si>
  <si>
    <t>Expandable modular system</t>
  </si>
  <si>
    <t>Fortress</t>
  </si>
  <si>
    <t>eBoost 16</t>
  </si>
  <si>
    <t>Verify</t>
  </si>
  <si>
    <t>Replacement direction for eVault; verify Sol-Ark closed loop</t>
  </si>
  <si>
    <t>String IDs</t>
  </si>
  <si>
    <t>Manual</t>
  </si>
  <si>
    <t>Split Banks</t>
  </si>
  <si>
    <t>Future</t>
  </si>
  <si>
    <t>Unassigned</t>
  </si>
  <si>
    <t>DESIGN NOTES / CHANGE LOG</t>
  </si>
  <si>
    <t>Date/Version</t>
  </si>
  <si>
    <t>Decision</t>
  </si>
  <si>
    <t>Rationale</t>
  </si>
  <si>
    <t>v4.0</t>
  </si>
  <si>
    <t>Architecture</t>
  </si>
  <si>
    <t>Build page redesigned as command center</t>
  </si>
  <si>
    <t>User wants whole-picture design workflow instead of jumping across sheets</t>
  </si>
  <si>
    <t>Default 3×12 single mount</t>
  </si>
  <si>
    <t>Matches 36 panels, 6 strings, and compact footprint</t>
  </si>
  <si>
    <t>Stringing</t>
  </si>
  <si>
    <t>Default column-based strings</t>
  </si>
  <si>
    <t>East/west shadows should affect one string group at a time</t>
  </si>
  <si>
    <t>MPPT pairing</t>
  </si>
  <si>
    <t>S1+S6, S2+S5, S3+S4</t>
  </si>
  <si>
    <t>Symmetric pairing balances edge-shade impacts</t>
  </si>
  <si>
    <t>Equipment</t>
  </si>
  <si>
    <t>Sol-Ark 18K + REC 460 + Discover Helios x3</t>
  </si>
  <si>
    <t>Clean voltage/current fit and battery integration candidate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</si>
</sst>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\$#,##0"/>
    <numFmt numFmtId="166" formatCode="&quot;$&quot;#,##0.00"/>
  </numFmts>
  <fonts count="5">
    <font>
      <sz val="11"/>
      <name val="Carlito"/>
    </font>
    <font>
      <b/>
      <sz val="11"/>
      <color rgb="FFFFFFFF"/>
      <name val="Carlito"/>
    </font>
    <font>
      <b/>
      <sz val="16"/>
      <color rgb="FFFFFFFF"/>
      <name val="Carlito"/>
    </font>
    <font>
      <b/>
      <sz val="11"/>
      <name val="Carlito"/>
    </font>
    <font>
      <b/>
      <sz val="15"/>
      <color rgb="FFFFFFFF"/>
      <name val="Carlito"/>
    </font>
  </fonts>
  <fills count="1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0F172A"/>
      </patternFill>
    </fill>
    <fill>
      <patternFill patternType="solid">
        <fgColor rgb="FF0F766E"/>
      </patternFill>
    </fill>
    <fill>
      <patternFill patternType="solid">
        <fgColor rgb="FFE2E8F0"/>
      </patternFill>
    </fill>
    <fill>
      <patternFill patternType="solid">
        <fgColor rgb="FFFFFFFF"/>
      </patternFill>
    </fill>
    <fill>
      <patternFill patternType="solid">
        <fgColor rgb="FF334155"/>
      </patternFill>
    </fill>
    <fill>
      <patternFill patternType="solid">
        <fgColor rgb="FFDBEAFE"/>
      </patternFill>
    </fill>
    <fill>
      <patternFill patternType="solid">
        <fgColor rgb="FFDCFCE7"/>
      </patternFill>
    </fill>
    <fill>
      <patternFill patternType="solid">
        <fgColor rgb="FFFEF3C7"/>
      </patternFill>
    </fill>
    <fill>
      <patternFill patternType="solid">
        <fgColor rgb="FFEDE9FE"/>
      </patternFill>
    </fill>
    <fill>
      <patternFill patternType="solid">
        <fgColor rgb="FFFCE7F3"/>
      </patternFill>
    </fill>
    <fill>
      <patternFill patternType="solid">
        <fgColor rgb="FFCCFBF1"/>
      </patternFill>
    </fill>
    <fill>
      <patternFill patternType="solid">
        <fgColor rgb="FFF1F5F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0" fillId="0" borderId="0" xfId="0" applyAlignment="1">
      <alignment wrapText="1"/>
    </xf>
    <xf numFmtId="0" fontId="0" fillId="0" borderId="0" xfId="0" applyAlignment="1">
      <alignment vertical="center"/>
    </xf>
    <xf numFmtId="0" fontId="1" fillId="2" borderId="0" xfId="0" applyFont="1" applyFill="1" applyAlignment="1">
      <alignment vertical="center"/>
    </xf>
    <xf numFmtId="0" fontId="1" fillId="4" borderId="0" xfId="0" applyFont="1" applyFill="1" applyAlignment="1">
      <alignment vertical="center"/>
    </xf>
    <xf numFmtId="0" fontId="3" fillId="5" borderId="0" xfId="0" applyFont="1" applyFill="1" applyAlignment="1">
      <alignment vertical="center"/>
    </xf>
    <xf numFmtId="0" fontId="0" fillId="0" borderId="0" xfId="0" applyAlignment="1">
      <alignment vertical="center" wrapText="1"/>
    </xf>
    <xf numFmtId="0" fontId="3" fillId="5" borderId="0" xfId="0" applyFont="1" applyFill="1" applyAlignment="1">
      <alignment vertical="center" wrapText="1"/>
    </xf>
    <xf numFmtId="0" fontId="0" fillId="6" borderId="0" xfId="0" applyFill="1" applyAlignment="1">
      <alignment vertical="center" wrapText="1"/>
    </xf>
    <xf numFmtId="0" fontId="0" fillId="14" borderId="0" xfId="0" applyFill="1" applyAlignment="1">
      <alignment vertical="center" wrapText="1"/>
    </xf>
    <xf numFmtId="0" fontId="4" fillId="3" borderId="0" xfId="0" applyFont="1" applyFill="1" applyAlignment="1">
      <alignment horizontal="center" vertical="center" wrapText="1"/>
    </xf>
    <xf numFmtId="0" fontId="2" fillId="3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vertical="center" wrapText="1"/>
    </xf>
    <xf numFmtId="0" fontId="1" fillId="4" borderId="0" xfId="0" applyFont="1" applyFill="1" applyAlignment="1">
      <alignment vertical="center" wrapText="1"/>
    </xf>
    <xf numFmtId="0" fontId="1" fillId="7" borderId="0" xfId="0" applyFont="1" applyFill="1" applyAlignment="1">
      <alignment vertical="center" wrapText="1"/>
    </xf>
    <xf numFmtId="0" fontId="3" fillId="8" borderId="0" xfId="0" applyFont="1" applyFill="1" applyAlignment="1">
      <alignment horizontal="center" vertical="center" wrapText="1"/>
    </xf>
    <xf numFmtId="0" fontId="3" fillId="9" borderId="0" xfId="0" applyFont="1" applyFill="1" applyAlignment="1">
      <alignment horizontal="center" vertical="center" wrapText="1"/>
    </xf>
    <xf numFmtId="0" fontId="3" fillId="10" borderId="0" xfId="0" applyFont="1" applyFill="1" applyAlignment="1">
      <alignment horizontal="center" vertical="center" wrapText="1"/>
    </xf>
    <xf numFmtId="0" fontId="3" fillId="11" borderId="0" xfId="0" applyFont="1" applyFill="1" applyAlignment="1">
      <alignment horizontal="center" vertical="center" wrapText="1"/>
    </xf>
    <xf numFmtId="0" fontId="3" fillId="12" borderId="0" xfId="0" applyFont="1" applyFill="1" applyAlignment="1">
      <alignment horizontal="center" vertical="center" wrapText="1"/>
    </xf>
    <xf numFmtId="0" fontId="3" fillId="13" borderId="0" xfId="0" applyFont="1" applyFill="1" applyAlignment="1">
      <alignment horizontal="center" vertical="center" wrapText="1"/>
    </xf>
    <xf numFmtId="9" fontId="0" fillId="0" borderId="0" xfId="0" applyNumberFormat="1" applyAlignment="1">
      <alignment vertical="center" wrapText="1"/>
    </xf>
    <xf numFmtId="0" fontId="1" fillId="4" borderId="0" xfId="0" applyFont="1" applyFill="1" applyAlignment="1">
      <alignment horizontal="center" vertical="center" wrapText="1"/>
    </xf>
    <xf numFmtId="164" fontId="0" fillId="0" borderId="0" xfId="0" applyNumberForma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0" fontId="2" fillId="3" borderId="0" xfId="0" applyFont="1" applyFill="1" applyAlignment="1">
      <alignment vertical="center" wrapText="1"/>
    </xf>
    <xf numFmtId="0" fontId="0" fillId="0" borderId="0" xfId="0" applyAlignment="1">
      <alignment horizontal="left" vertical="center" wrapText="1"/>
    </xf>
    <xf numFmtId="0" fontId="0" fillId="6" borderId="0" xfId="0" applyFill="1" applyAlignment="1">
      <alignment horizontal="left" vertical="center" wrapText="1"/>
    </xf>
    <xf numFmtId="166" fontId="0" fillId="6" borderId="0" xfId="0" applyNumberFormat="1" applyFill="1" applyAlignment="1">
      <alignment horizontal="left" vertical="center" wrapText="1"/>
    </xf>
    <xf numFmtId="10" fontId="0" fillId="6" borderId="0" xfId="0" applyNumberFormat="1" applyFill="1" applyAlignment="1">
      <alignment vertical="center" wrapText="1"/>
    </xf>
    <xf numFmtId="165" fontId="0" fillId="6" borderId="0" xfId="0" applyNumberFormat="1" applyFill="1" applyAlignment="1">
      <alignment horizontal="left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left" vertical="center" wrapText="1"/>
    </xf>
    <xf numFmtId="0" fontId="1" fillId="4" borderId="0" xfId="0" applyFont="1" applyFill="1" applyAlignment="1">
      <alignment horizontal="left" vertical="center" wrapText="1"/>
    </xf>
    <xf numFmtId="0" fontId="0" fillId="0" borderId="0" xfId="0" applyAlignment="1">
      <alignment horizontal="center" vertical="center"/>
    </xf>
    <xf numFmtId="0" fontId="1" fillId="4" borderId="0" xfId="0" applyFont="1" applyFill="1" applyAlignment="1">
      <alignment horizontal="center" vertic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80"/>
  <sheetViews>
    <sheetView tabSelected="1" workbookViewId="0">
      <selection activeCell="B1" sqref="B1"/>
    </sheetView>
  </sheetViews>
  <sheetFormatPr defaultColWidth="25" defaultRowHeight="14.25"/>
  <cols>
    <col min="2" max="2" width="29.5" style="32" customWidth="1"/>
    <col min="4" max="4" width="28" customWidth="1"/>
  </cols>
  <sheetData>
    <row r="1" spans="1:17" ht="81">
      <c r="A1" s="11" t="s">
        <v>0</v>
      </c>
      <c r="B1" s="2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>
      <c r="A2" s="6"/>
      <c r="B2" s="2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5">
      <c r="A3" s="12" t="s">
        <v>1</v>
      </c>
      <c r="B3" s="26"/>
      <c r="C3" s="13" t="s">
        <v>2</v>
      </c>
      <c r="E3" s="6"/>
      <c r="F3" s="6"/>
      <c r="I3" s="6"/>
      <c r="J3" s="6"/>
      <c r="K3" s="6"/>
      <c r="L3" s="6"/>
      <c r="M3" s="6"/>
      <c r="N3" s="6"/>
      <c r="O3" s="6"/>
      <c r="P3" s="6"/>
      <c r="Q3" s="6"/>
    </row>
    <row r="4" spans="1:17" ht="15">
      <c r="A4" s="7" t="s">
        <v>3</v>
      </c>
      <c r="B4" s="27" t="str">
        <f>'02_Build'!B4</f>
        <v>44755 Savage Rd, Coarsegold CA</v>
      </c>
      <c r="C4" s="7" t="s">
        <v>4</v>
      </c>
      <c r="D4" s="6" t="str">
        <f>'02_Build'!F20</f>
        <v>PASS</v>
      </c>
      <c r="F4" s="6"/>
      <c r="I4" s="6"/>
      <c r="J4" s="6"/>
      <c r="K4" s="6"/>
      <c r="L4" s="6"/>
      <c r="M4" s="6"/>
      <c r="N4" s="6"/>
      <c r="O4" s="6"/>
      <c r="P4" s="6"/>
      <c r="Q4" s="6"/>
    </row>
    <row r="5" spans="1:17" ht="15">
      <c r="A5" s="7" t="s">
        <v>5</v>
      </c>
      <c r="B5" s="27" t="str">
        <f>'02_Build'!B5</f>
        <v>REC Alpha Pure-RX 460</v>
      </c>
      <c r="C5" s="7" t="s">
        <v>6</v>
      </c>
      <c r="D5" s="6" t="s">
        <v>7</v>
      </c>
      <c r="F5" s="6"/>
      <c r="I5" s="6"/>
      <c r="J5" s="6"/>
      <c r="K5" s="6"/>
      <c r="L5" s="6"/>
      <c r="M5" s="6"/>
      <c r="N5" s="6"/>
      <c r="O5" s="6"/>
      <c r="P5" s="6"/>
      <c r="Q5" s="6"/>
    </row>
    <row r="6" spans="1:17" ht="15">
      <c r="A6" s="7" t="s">
        <v>8</v>
      </c>
      <c r="B6" s="27" t="str">
        <f>'02_Build'!B6</f>
        <v>Sol-Ark 18K-2P-LV</v>
      </c>
      <c r="C6" s="7" t="s">
        <v>9</v>
      </c>
      <c r="D6" s="6" t="s">
        <v>10</v>
      </c>
      <c r="F6" s="6"/>
      <c r="I6" s="6"/>
      <c r="J6" s="6"/>
      <c r="K6" s="6"/>
      <c r="L6" s="6"/>
      <c r="M6" s="6"/>
      <c r="N6" s="6"/>
      <c r="O6" s="6"/>
      <c r="P6" s="6"/>
      <c r="Q6" s="6"/>
    </row>
    <row r="7" spans="1:17" ht="15">
      <c r="A7" s="7" t="s">
        <v>11</v>
      </c>
      <c r="B7" s="27" t="str">
        <f>'02_Build'!B7</f>
        <v>Discover Helios ESS</v>
      </c>
      <c r="C7" s="7" t="s">
        <v>12</v>
      </c>
      <c r="D7" s="6" t="s">
        <v>13</v>
      </c>
      <c r="F7" s="6"/>
      <c r="I7" s="6"/>
      <c r="J7" s="6"/>
      <c r="K7" s="6"/>
      <c r="L7" s="6"/>
      <c r="M7" s="6"/>
      <c r="N7" s="6"/>
      <c r="O7" s="6"/>
      <c r="P7" s="6"/>
      <c r="Q7" s="6"/>
    </row>
    <row r="8" spans="1:17" ht="15">
      <c r="A8" s="7" t="s">
        <v>14</v>
      </c>
      <c r="B8" s="27">
        <f>'02_Build'!B8</f>
        <v>3</v>
      </c>
      <c r="C8" s="7" t="s">
        <v>15</v>
      </c>
      <c r="D8" s="6" t="s">
        <v>16</v>
      </c>
      <c r="F8" s="6"/>
      <c r="I8" s="6"/>
      <c r="J8" s="6"/>
      <c r="K8" s="6"/>
      <c r="L8" s="6"/>
      <c r="M8" s="6"/>
      <c r="N8" s="6"/>
      <c r="O8" s="6"/>
      <c r="P8" s="6"/>
      <c r="Q8" s="6"/>
    </row>
    <row r="9" spans="1:17" ht="15">
      <c r="A9" s="7" t="s">
        <v>17</v>
      </c>
      <c r="B9" s="27" t="str">
        <f>'02_Build'!B11&amp;"×"&amp;'02_Build'!B12&amp;" "&amp;'02_Build'!B9&amp;" x"&amp;'02_Build'!B13&amp;" "&amp;'02_Build'!B10</f>
        <v>3×12 Portrait x1 Single Mount</v>
      </c>
      <c r="C9" s="7" t="s">
        <v>18</v>
      </c>
      <c r="D9" s="6" t="s">
        <v>19</v>
      </c>
      <c r="F9" s="6"/>
      <c r="I9" s="6"/>
      <c r="J9" s="6"/>
      <c r="K9" s="6"/>
      <c r="L9" s="6"/>
      <c r="M9" s="6"/>
      <c r="N9" s="6"/>
      <c r="O9" s="6"/>
      <c r="P9" s="6"/>
      <c r="Q9" s="6"/>
    </row>
    <row r="10" spans="1:17" ht="15">
      <c r="A10" s="7" t="s">
        <v>20</v>
      </c>
      <c r="B10" s="27">
        <f>'02_Build'!F5</f>
        <v>16.559999999999999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5">
      <c r="A11" s="7" t="s">
        <v>21</v>
      </c>
      <c r="B11" s="27">
        <f>'02_Build'!F11</f>
        <v>48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5">
      <c r="A12" s="7" t="s">
        <v>22</v>
      </c>
      <c r="B12" s="30">
        <f>'02_Build'!F12</f>
        <v>45940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 ht="15">
      <c r="A13" s="7" t="s">
        <v>23</v>
      </c>
      <c r="B13" s="27" t="str">
        <f>'02_Build'!F20</f>
        <v>PASS</v>
      </c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>
      <c r="A14" s="6"/>
      <c r="B14" s="2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>
      <c r="A15" s="6"/>
      <c r="B15" s="2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>
      <c r="A16" s="6"/>
      <c r="B16" s="2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>
      <c r="A17" s="6"/>
      <c r="B17" s="2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>
      <c r="A18" s="6"/>
      <c r="B18" s="2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>
      <c r="A19" s="6"/>
      <c r="B19" s="2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>
      <c r="A20" s="6"/>
      <c r="B20" s="2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>
      <c r="A21" s="6"/>
      <c r="B21" s="2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>
      <c r="A22" s="6"/>
      <c r="B22" s="2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>
      <c r="A23" s="6"/>
      <c r="B23" s="2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>
      <c r="A24" s="6"/>
      <c r="B24" s="2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>
      <c r="A25" s="6"/>
      <c r="B25" s="2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>
      <c r="A26" s="6"/>
      <c r="B26" s="2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>
      <c r="A27" s="6"/>
      <c r="B27" s="2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>
      <c r="A28" s="6"/>
      <c r="B28" s="2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>
      <c r="A29" s="6"/>
      <c r="B29" s="2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>
      <c r="A30" s="6"/>
      <c r="B30" s="2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>
      <c r="A31" s="6"/>
      <c r="B31" s="2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>
      <c r="A32" s="6"/>
      <c r="B32" s="2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>
      <c r="A33" s="6"/>
      <c r="B33" s="2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>
      <c r="A34" s="6"/>
      <c r="B34" s="2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>
      <c r="A35" s="6"/>
      <c r="B35" s="2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>
      <c r="A36" s="6"/>
      <c r="B36" s="2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>
      <c r="A37" s="6"/>
      <c r="B37" s="2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>
      <c r="A38" s="6"/>
      <c r="B38" s="2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>
      <c r="A39" s="6"/>
      <c r="B39" s="2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>
      <c r="A40" s="6"/>
      <c r="B40" s="2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>
      <c r="A41" s="6"/>
      <c r="B41" s="2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>
      <c r="A42" s="6"/>
      <c r="B42" s="2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>
      <c r="A43" s="6"/>
      <c r="B43" s="2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>
      <c r="A44" s="6"/>
      <c r="B44" s="2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>
      <c r="A45" s="6"/>
      <c r="B45" s="2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>
      <c r="A46" s="6"/>
      <c r="B46" s="2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>
      <c r="A47" s="6"/>
      <c r="B47" s="2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>
      <c r="A48" s="6"/>
      <c r="B48" s="2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>
      <c r="A49" s="6"/>
      <c r="B49" s="2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>
      <c r="A50" s="6"/>
      <c r="B50" s="2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>
      <c r="A51" s="6"/>
      <c r="B51" s="2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>
      <c r="A52" s="6"/>
      <c r="B52" s="2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>
      <c r="A53" s="6"/>
      <c r="B53" s="2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>
      <c r="A54" s="6"/>
      <c r="B54" s="2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>
      <c r="A55" s="6"/>
      <c r="B55" s="2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>
      <c r="A56" s="6"/>
      <c r="B56" s="2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>
      <c r="A57" s="6"/>
      <c r="B57" s="2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>
      <c r="A58" s="6"/>
      <c r="B58" s="2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>
      <c r="A59" s="6"/>
      <c r="B59" s="2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>
      <c r="A60" s="6"/>
      <c r="B60" s="2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>
      <c r="A61" s="1"/>
      <c r="B61" s="3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3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3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3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3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3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3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3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3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3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3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3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3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3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3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3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3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3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3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3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80"/>
  <sheetViews>
    <sheetView workbookViewId="0">
      <selection activeCell="I23" sqref="I23"/>
    </sheetView>
  </sheetViews>
  <sheetFormatPr defaultColWidth="21" defaultRowHeight="14.25"/>
  <sheetData>
    <row r="1" spans="1:17" ht="101.25">
      <c r="A1" s="25" t="s">
        <v>24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30">
      <c r="A3" s="12" t="s">
        <v>25</v>
      </c>
      <c r="B3" s="6"/>
      <c r="C3" s="14" t="s">
        <v>27</v>
      </c>
      <c r="D3" s="26"/>
      <c r="E3" s="13" t="s">
        <v>26</v>
      </c>
      <c r="F3" s="26"/>
      <c r="G3" s="13" t="s">
        <v>30</v>
      </c>
      <c r="H3" s="22" t="s">
        <v>31</v>
      </c>
      <c r="I3" s="22" t="s">
        <v>32</v>
      </c>
      <c r="J3" s="22" t="s">
        <v>33</v>
      </c>
      <c r="M3" s="6"/>
      <c r="P3" s="6"/>
      <c r="Q3" s="6"/>
    </row>
    <row r="4" spans="1:17" ht="28.5">
      <c r="A4" s="7" t="s">
        <v>3</v>
      </c>
      <c r="B4" s="27" t="s">
        <v>28</v>
      </c>
      <c r="C4" s="7" t="s">
        <v>34</v>
      </c>
      <c r="D4" s="26">
        <f>INDEX(DB_Panels!$C$2:$C$6,MATCH($B$5,DB_Panels!$B$2:$B$6,0))</f>
        <v>460</v>
      </c>
      <c r="E4" s="7" t="s">
        <v>29</v>
      </c>
      <c r="F4" s="27">
        <f>B11*B12*B13</f>
        <v>36</v>
      </c>
      <c r="G4" s="7" t="s">
        <v>37</v>
      </c>
      <c r="H4" s="23">
        <f>F6</f>
        <v>329.4</v>
      </c>
      <c r="I4" s="23" t="str">
        <f>D13&amp;"–"&amp;D14&amp;" V"</f>
        <v>150–425 V</v>
      </c>
      <c r="J4" s="24" t="str">
        <f>IF(AND(F6&gt;=D13,F6&lt;=D14),"PASS","CHECK")</f>
        <v>PASS</v>
      </c>
      <c r="M4" s="6"/>
      <c r="P4" s="6"/>
      <c r="Q4" s="6"/>
    </row>
    <row r="5" spans="1:17" ht="28.5">
      <c r="A5" s="7" t="s">
        <v>35</v>
      </c>
      <c r="B5" s="27" t="s">
        <v>36</v>
      </c>
      <c r="C5" s="7" t="s">
        <v>38</v>
      </c>
      <c r="D5" s="26">
        <f>INDEX(DB_Panels!$D$2:$D$6,MATCH($B$5,DB_Panels!$B$2:$B$6,0))</f>
        <v>65.7</v>
      </c>
      <c r="E5" s="7" t="s">
        <v>20</v>
      </c>
      <c r="F5" s="27">
        <f>$D$4*F4/1000</f>
        <v>16.559999999999999</v>
      </c>
      <c r="G5" s="7" t="s">
        <v>40</v>
      </c>
      <c r="H5" s="23">
        <f>F7</f>
        <v>422.58240000000006</v>
      </c>
      <c r="I5" s="23" t="str">
        <f>"&lt;"&amp;D15&amp;" V"</f>
        <v>&lt;500 V</v>
      </c>
      <c r="J5" s="24" t="str">
        <f>IF(F7&lt;D15,"PASS","CHECK")</f>
        <v>PASS</v>
      </c>
      <c r="M5" s="6"/>
      <c r="P5" s="6"/>
      <c r="Q5" s="6"/>
    </row>
    <row r="6" spans="1:17" ht="15">
      <c r="A6" s="7" t="s">
        <v>8</v>
      </c>
      <c r="B6" s="27" t="s">
        <v>39</v>
      </c>
      <c r="C6" s="7" t="s">
        <v>41</v>
      </c>
      <c r="D6" s="26">
        <f>INDEX(DB_Panels!$E$2:$E$6,MATCH($B$5,DB_Panels!$B$2:$B$6,0))</f>
        <v>54.9</v>
      </c>
      <c r="E6" s="7" t="s">
        <v>37</v>
      </c>
      <c r="F6" s="27">
        <f>$D$6*$B$17</f>
        <v>329.4</v>
      </c>
      <c r="G6" s="7" t="s">
        <v>44</v>
      </c>
      <c r="H6" s="23">
        <f>F8</f>
        <v>16.760000000000002</v>
      </c>
      <c r="I6" s="23" t="str">
        <f>"&lt;"&amp;D16&amp;" A"</f>
        <v>&lt;36 A</v>
      </c>
      <c r="J6" s="24" t="str">
        <f>IF(F8&lt;D16,"PASS","CHECK")</f>
        <v>PASS</v>
      </c>
      <c r="M6" s="6"/>
      <c r="P6" s="6"/>
      <c r="Q6" s="6"/>
    </row>
    <row r="7" spans="1:17" ht="15">
      <c r="A7" s="7" t="s">
        <v>11</v>
      </c>
      <c r="B7" s="27" t="s">
        <v>42</v>
      </c>
      <c r="C7" s="7" t="s">
        <v>45</v>
      </c>
      <c r="D7" s="26">
        <f>INDEX(DB_Panels!$F$2:$F$6,MATCH($B$5,DB_Panels!$B$2:$B$6,0))</f>
        <v>8.8800000000000008</v>
      </c>
      <c r="E7" s="7" t="s">
        <v>43</v>
      </c>
      <c r="F7" s="27">
        <f>$D$5*$B$17*(1+ABS($D$9)/100*(25-$B$16))</f>
        <v>422.58240000000006</v>
      </c>
      <c r="G7" s="7" t="s">
        <v>47</v>
      </c>
      <c r="H7" s="23">
        <f>F9</f>
        <v>17.760000000000002</v>
      </c>
      <c r="I7" s="23" t="str">
        <f>"&lt;"&amp;D17&amp;" A"</f>
        <v>&lt;54 A</v>
      </c>
      <c r="J7" s="24" t="str">
        <f>IF(F9&lt;D17,"PASS","CHECK")</f>
        <v>PASS</v>
      </c>
      <c r="M7" s="6"/>
      <c r="P7" s="6"/>
      <c r="Q7" s="6"/>
    </row>
    <row r="8" spans="1:17" ht="30">
      <c r="A8" s="7" t="s">
        <v>14</v>
      </c>
      <c r="B8" s="27">
        <v>3</v>
      </c>
      <c r="C8" s="7" t="s">
        <v>48</v>
      </c>
      <c r="D8" s="26">
        <f>INDEX(DB_Panels!$G$2:$G$6,MATCH($B$5,DB_Panels!$B$2:$B$6,0))</f>
        <v>8.3800000000000008</v>
      </c>
      <c r="E8" s="7" t="s">
        <v>46</v>
      </c>
      <c r="F8" s="27">
        <f>$D$8*$B$19</f>
        <v>16.760000000000002</v>
      </c>
      <c r="G8" s="7" t="s">
        <v>52</v>
      </c>
      <c r="H8" s="23">
        <f>B18/B19</f>
        <v>3</v>
      </c>
      <c r="I8" s="23" t="str">
        <f>"&lt;= "&amp;D18</f>
        <v>&lt;= 3</v>
      </c>
      <c r="J8" s="24" t="str">
        <f>IF(B18/B19&lt;=D18,"PASS","CHECK")</f>
        <v>PASS</v>
      </c>
      <c r="M8" s="6"/>
      <c r="P8" s="6"/>
      <c r="Q8" s="6"/>
    </row>
    <row r="9" spans="1:17" ht="30">
      <c r="A9" s="7" t="s">
        <v>49</v>
      </c>
      <c r="B9" s="27" t="s">
        <v>50</v>
      </c>
      <c r="C9" s="7" t="s">
        <v>53</v>
      </c>
      <c r="D9" s="26">
        <f>INDEX(DB_Panels!$H$2:$H$6,MATCH($B$5,DB_Panels!$B$2:$B$6,0))</f>
        <v>-0.24</v>
      </c>
      <c r="E9" s="7" t="s">
        <v>51</v>
      </c>
      <c r="F9" s="27">
        <f>$D$7*$B$19</f>
        <v>17.760000000000002</v>
      </c>
      <c r="H9" s="6"/>
      <c r="M9" s="6"/>
      <c r="P9" s="6"/>
      <c r="Q9" s="6"/>
    </row>
    <row r="10" spans="1:17" ht="15">
      <c r="A10" s="7" t="s">
        <v>54</v>
      </c>
      <c r="B10" s="27" t="s">
        <v>55</v>
      </c>
      <c r="C10" s="7" t="s">
        <v>57</v>
      </c>
      <c r="D10" s="26">
        <f>INDEX(DB_Panels!$J$2:$J$6,MATCH($B$5,DB_Panels!$B$2:$B$6,0))/304.8</f>
        <v>5.6692913385826769</v>
      </c>
      <c r="E10" s="7" t="s">
        <v>56</v>
      </c>
      <c r="F10" s="27">
        <f>F6*F8/1000</f>
        <v>5.5207439999999997</v>
      </c>
      <c r="H10" s="6"/>
      <c r="I10" s="6"/>
      <c r="J10" s="6"/>
      <c r="K10" s="6"/>
      <c r="L10" s="6"/>
      <c r="M10" s="6"/>
      <c r="P10" s="6"/>
      <c r="Q10" s="6"/>
    </row>
    <row r="11" spans="1:17" ht="15">
      <c r="A11" s="7" t="s">
        <v>58</v>
      </c>
      <c r="B11" s="27">
        <v>3</v>
      </c>
      <c r="C11" s="7" t="s">
        <v>59</v>
      </c>
      <c r="D11" s="26">
        <f>INDEX(DB_Panels!$K$2:$K$6,MATCH($B$5,DB_Panels!$B$2:$B$6,0))/304.8</f>
        <v>3.9534120734908136</v>
      </c>
      <c r="E11" s="7" t="s">
        <v>21</v>
      </c>
      <c r="F11" s="27">
        <f>$D$20*$B$8</f>
        <v>48</v>
      </c>
      <c r="H11" s="6"/>
      <c r="I11" s="6"/>
      <c r="J11" s="6"/>
      <c r="K11" s="6"/>
      <c r="L11" s="6"/>
      <c r="M11" s="6"/>
      <c r="P11" s="6"/>
      <c r="Q11" s="6"/>
    </row>
    <row r="12" spans="1:17" ht="15">
      <c r="A12" s="7" t="s">
        <v>60</v>
      </c>
      <c r="B12" s="27">
        <v>12</v>
      </c>
      <c r="C12" s="7" t="s">
        <v>61</v>
      </c>
      <c r="D12" s="26">
        <f>INDEX(DB_Panels!$O$2:$O$6,MATCH($B$5,DB_Panels!$B$2:$B$6,0))</f>
        <v>315</v>
      </c>
      <c r="E12" s="7" t="s">
        <v>22</v>
      </c>
      <c r="F12" s="28">
        <f>$D$12*F4+$D$19+$D$21*$B$8+$B$21</f>
        <v>45940</v>
      </c>
      <c r="H12" s="6"/>
      <c r="I12" s="6"/>
      <c r="J12" s="6"/>
      <c r="K12" s="6"/>
      <c r="L12" s="6"/>
      <c r="M12" s="6"/>
      <c r="P12" s="6"/>
      <c r="Q12" s="6"/>
    </row>
    <row r="13" spans="1:17" ht="15">
      <c r="A13" s="7" t="s">
        <v>62</v>
      </c>
      <c r="B13" s="27">
        <v>1</v>
      </c>
      <c r="C13" s="7" t="s">
        <v>64</v>
      </c>
      <c r="D13" s="26">
        <f>INDEX(DB_Inverters!$C$2:$C$3,MATCH($B$6,DB_Inverters!$B$2:$B$3,0))</f>
        <v>150</v>
      </c>
      <c r="E13" s="7" t="s">
        <v>63</v>
      </c>
      <c r="F13" s="28">
        <f>F12/(F5*1000)</f>
        <v>2.7741545893719808</v>
      </c>
      <c r="H13" s="6"/>
      <c r="I13" s="6"/>
      <c r="J13" s="6"/>
      <c r="K13" s="6"/>
      <c r="L13" s="6"/>
      <c r="M13" s="6"/>
      <c r="P13" s="6"/>
      <c r="Q13" s="6"/>
    </row>
    <row r="14" spans="1:17" ht="15">
      <c r="A14" s="7" t="s">
        <v>65</v>
      </c>
      <c r="B14" s="27">
        <v>37</v>
      </c>
      <c r="C14" s="7" t="s">
        <v>66</v>
      </c>
      <c r="D14" s="26">
        <f>INDEX(DB_Inverters!$D$2:$D$3,MATCH($B$6,DB_Inverters!$B$2:$B$3,0))</f>
        <v>425</v>
      </c>
      <c r="E14" s="7" t="s">
        <v>59</v>
      </c>
      <c r="F14" s="27">
        <f>$D$11</f>
        <v>3.9534120734908136</v>
      </c>
      <c r="H14" s="6"/>
      <c r="I14" s="6"/>
      <c r="J14" s="6"/>
      <c r="K14" s="6"/>
      <c r="L14" s="6"/>
      <c r="M14" s="6"/>
      <c r="P14" s="6"/>
      <c r="Q14" s="6"/>
    </row>
    <row r="15" spans="1:17" ht="15">
      <c r="A15" s="7" t="s">
        <v>67</v>
      </c>
      <c r="B15" s="27">
        <v>180</v>
      </c>
      <c r="C15" s="7" t="s">
        <v>68</v>
      </c>
      <c r="D15" s="26">
        <f>INDEX(DB_Inverters!$E$2:$E$3,MATCH($B$6,DB_Inverters!$B$2:$B$3,0))</f>
        <v>500</v>
      </c>
      <c r="E15" s="7" t="s">
        <v>57</v>
      </c>
      <c r="F15" s="27">
        <f>$D$10</f>
        <v>5.6692913385826769</v>
      </c>
      <c r="H15" s="6"/>
      <c r="I15" s="6"/>
      <c r="J15" s="6"/>
      <c r="K15" s="6"/>
      <c r="L15" s="6"/>
      <c r="M15" s="6"/>
      <c r="P15" s="6"/>
      <c r="Q15" s="6"/>
    </row>
    <row r="16" spans="1:17" ht="15">
      <c r="A16" s="7" t="s">
        <v>69</v>
      </c>
      <c r="B16" s="27">
        <v>-5</v>
      </c>
      <c r="C16" s="7" t="s">
        <v>71</v>
      </c>
      <c r="D16" s="26">
        <f>INDEX(DB_Inverters!$F$2:$F$3,MATCH($B$6,DB_Inverters!$B$2:$B$3,0))</f>
        <v>36</v>
      </c>
      <c r="E16" s="7" t="s">
        <v>70</v>
      </c>
      <c r="F16" s="27">
        <f>IF($B$9="Portrait",$B$12*F14,$B$12*F15)</f>
        <v>47.440944881889763</v>
      </c>
      <c r="H16" s="6"/>
      <c r="I16" s="6"/>
      <c r="J16" s="6"/>
      <c r="K16" s="6"/>
      <c r="L16" s="6"/>
      <c r="M16" s="6"/>
      <c r="P16" s="6"/>
      <c r="Q16" s="6"/>
    </row>
    <row r="17" spans="1:17" ht="15">
      <c r="A17" s="7" t="s">
        <v>72</v>
      </c>
      <c r="B17" s="27">
        <v>6</v>
      </c>
      <c r="C17" s="7" t="s">
        <v>74</v>
      </c>
      <c r="D17" s="26">
        <f>INDEX(DB_Inverters!$G$2:$G$3,MATCH($B$6,DB_Inverters!$B$2:$B$3,0))</f>
        <v>54</v>
      </c>
      <c r="E17" s="7" t="s">
        <v>73</v>
      </c>
      <c r="F17" s="27">
        <f>IF($B$9="Portrait",$B$11*F15,$B$11*F14)</f>
        <v>17.00787401574803</v>
      </c>
      <c r="H17" s="6"/>
      <c r="I17" s="6"/>
      <c r="J17" s="6"/>
      <c r="K17" s="6"/>
      <c r="L17" s="6"/>
      <c r="M17" s="6"/>
      <c r="P17" s="6"/>
      <c r="Q17" s="6"/>
    </row>
    <row r="18" spans="1:17" ht="15">
      <c r="A18" s="7" t="s">
        <v>75</v>
      </c>
      <c r="B18" s="27">
        <v>6</v>
      </c>
      <c r="C18" s="7" t="s">
        <v>77</v>
      </c>
      <c r="D18" s="26">
        <f>INDEX(DB_Inverters!$H$2:$H$3,MATCH($B$6,DB_Inverters!$B$2:$B$3,0))</f>
        <v>3</v>
      </c>
      <c r="E18" s="7" t="s">
        <v>76</v>
      </c>
      <c r="F18" s="27">
        <f>F17*COS(RADIANS($B$14))</f>
        <v>13.583092139387027</v>
      </c>
      <c r="H18" s="6"/>
      <c r="I18" s="6"/>
      <c r="J18" s="6"/>
      <c r="K18" s="6"/>
      <c r="L18" s="6"/>
      <c r="M18" s="6"/>
      <c r="P18" s="6"/>
      <c r="Q18" s="6"/>
    </row>
    <row r="19" spans="1:17" ht="15">
      <c r="A19" s="7" t="s">
        <v>78</v>
      </c>
      <c r="B19" s="27">
        <v>2</v>
      </c>
      <c r="C19" s="7" t="s">
        <v>80</v>
      </c>
      <c r="D19" s="26">
        <f>INDEX(DB_Inverters!$L$2:$L$3,MATCH($B$6,DB_Inverters!$B$2:$B$3,0))</f>
        <v>7900</v>
      </c>
      <c r="E19" s="7" t="s">
        <v>79</v>
      </c>
      <c r="F19" s="27">
        <f>F17*SIN(RADIANS($B$14))</f>
        <v>10.235594094554521</v>
      </c>
      <c r="H19" s="6"/>
      <c r="I19" s="6"/>
      <c r="J19" s="6"/>
      <c r="K19" s="6"/>
      <c r="L19" s="6"/>
      <c r="M19" s="6"/>
      <c r="P19" s="6"/>
      <c r="Q19" s="6"/>
    </row>
    <row r="20" spans="1:17" ht="15">
      <c r="A20" s="7" t="s">
        <v>81</v>
      </c>
      <c r="B20" s="27" t="s">
        <v>249</v>
      </c>
      <c r="C20" s="7" t="s">
        <v>83</v>
      </c>
      <c r="D20" s="26">
        <f>INDEX(DB_Batteries!$D$2:$D$5,MATCH($B$7,DB_Batteries!$B$2:$B$5,0))</f>
        <v>16</v>
      </c>
      <c r="E20" s="7" t="s">
        <v>23</v>
      </c>
      <c r="F20" s="27" t="str">
        <f>IF(AND(F6&gt;=$D$13,F6&lt;=$D$14,F7&lt;$D$15,F8&lt;$D$16,F9&lt;$D$17),"PASS","CHECK")</f>
        <v>PASS</v>
      </c>
      <c r="H20" s="6"/>
      <c r="I20" s="6"/>
      <c r="J20" s="6"/>
      <c r="K20" s="6"/>
      <c r="L20" s="6"/>
      <c r="M20" s="6"/>
      <c r="P20" s="6"/>
      <c r="Q20" s="6"/>
    </row>
    <row r="21" spans="1:17" ht="28.5">
      <c r="A21" s="7" t="s">
        <v>84</v>
      </c>
      <c r="B21" s="27">
        <v>12000</v>
      </c>
      <c r="C21" s="7" t="s">
        <v>86</v>
      </c>
      <c r="D21" s="26">
        <f>INDEX(DB_Batteries!$M$2:$M$5,MATCH($B$7,DB_Batteries!$B$2:$B$5,0))</f>
        <v>4900</v>
      </c>
      <c r="E21" s="7" t="s">
        <v>85</v>
      </c>
      <c r="F21" s="27" t="str">
        <f>IF($B$10="Single Mount","Row spacing N/A - single structure","Check row spacing on Layout sheet")</f>
        <v>Row spacing N/A - single structure</v>
      </c>
      <c r="H21" s="6"/>
      <c r="I21" s="6"/>
      <c r="J21" s="6"/>
      <c r="K21" s="6"/>
      <c r="L21" s="6"/>
      <c r="M21" s="6"/>
      <c r="P21" s="6"/>
      <c r="Q21" s="6"/>
    </row>
    <row r="22" spans="1:17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 ht="60">
      <c r="A23" s="12" t="s">
        <v>87</v>
      </c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 ht="32.1" customHeight="1">
      <c r="A24" s="15" t="s">
        <v>88</v>
      </c>
      <c r="B24" s="15" t="s">
        <v>88</v>
      </c>
      <c r="C24" s="16" t="s">
        <v>89</v>
      </c>
      <c r="D24" s="16" t="s">
        <v>89</v>
      </c>
      <c r="E24" s="17" t="s">
        <v>90</v>
      </c>
      <c r="F24" s="17" t="s">
        <v>90</v>
      </c>
      <c r="G24" s="18" t="s">
        <v>91</v>
      </c>
      <c r="H24" s="18" t="s">
        <v>91</v>
      </c>
      <c r="I24" s="19" t="s">
        <v>92</v>
      </c>
      <c r="J24" s="19" t="s">
        <v>92</v>
      </c>
      <c r="K24" s="20" t="s">
        <v>93</v>
      </c>
      <c r="L24" s="20" t="s">
        <v>93</v>
      </c>
      <c r="M24" s="6"/>
    </row>
    <row r="25" spans="1:17" ht="32.1" customHeight="1">
      <c r="A25" s="15" t="s">
        <v>88</v>
      </c>
      <c r="B25" s="15" t="s">
        <v>88</v>
      </c>
      <c r="C25" s="16" t="s">
        <v>89</v>
      </c>
      <c r="D25" s="16" t="s">
        <v>89</v>
      </c>
      <c r="E25" s="17" t="s">
        <v>90</v>
      </c>
      <c r="F25" s="17" t="s">
        <v>90</v>
      </c>
      <c r="G25" s="18" t="s">
        <v>91</v>
      </c>
      <c r="H25" s="18" t="s">
        <v>91</v>
      </c>
      <c r="I25" s="19" t="s">
        <v>92</v>
      </c>
      <c r="J25" s="19" t="s">
        <v>92</v>
      </c>
      <c r="K25" s="20" t="s">
        <v>93</v>
      </c>
      <c r="L25" s="20" t="s">
        <v>93</v>
      </c>
      <c r="M25" s="6"/>
    </row>
    <row r="26" spans="1:17" ht="32.1" customHeight="1">
      <c r="A26" s="15" t="s">
        <v>88</v>
      </c>
      <c r="B26" s="15" t="s">
        <v>88</v>
      </c>
      <c r="C26" s="16" t="s">
        <v>89</v>
      </c>
      <c r="D26" s="16" t="s">
        <v>89</v>
      </c>
      <c r="E26" s="17" t="s">
        <v>90</v>
      </c>
      <c r="F26" s="17" t="s">
        <v>90</v>
      </c>
      <c r="G26" s="18" t="s">
        <v>91</v>
      </c>
      <c r="H26" s="18" t="s">
        <v>91</v>
      </c>
      <c r="I26" s="19" t="s">
        <v>92</v>
      </c>
      <c r="J26" s="19" t="s">
        <v>92</v>
      </c>
      <c r="K26" s="20" t="s">
        <v>93</v>
      </c>
      <c r="L26" s="20" t="s">
        <v>93</v>
      </c>
      <c r="M26" s="6"/>
    </row>
    <row r="27" spans="1:1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</row>
    <row r="28" spans="1:17" ht="30">
      <c r="A28" s="22" t="s">
        <v>94</v>
      </c>
      <c r="B28" s="13" t="s">
        <v>95</v>
      </c>
      <c r="C28" s="22" t="s">
        <v>96</v>
      </c>
      <c r="D28" s="13" t="s">
        <v>97</v>
      </c>
      <c r="F28" s="6"/>
      <c r="G28" s="6"/>
      <c r="H28" s="6"/>
      <c r="I28" s="6"/>
      <c r="J28" s="6"/>
      <c r="K28" s="6"/>
      <c r="L28" s="6"/>
      <c r="M28" s="6"/>
    </row>
    <row r="29" spans="1:17" ht="28.5">
      <c r="A29" s="24" t="s">
        <v>88</v>
      </c>
      <c r="B29" s="6" t="s">
        <v>98</v>
      </c>
      <c r="C29" s="24" t="s">
        <v>99</v>
      </c>
      <c r="D29" s="6" t="s">
        <v>100</v>
      </c>
      <c r="F29" s="6"/>
      <c r="G29" s="6"/>
      <c r="H29" s="6"/>
      <c r="I29" s="6"/>
      <c r="J29" s="6"/>
      <c r="K29" s="6"/>
      <c r="L29" s="6"/>
      <c r="M29" s="6"/>
    </row>
    <row r="30" spans="1:17" ht="28.5">
      <c r="A30" s="24" t="s">
        <v>89</v>
      </c>
      <c r="B30" s="6" t="s">
        <v>101</v>
      </c>
      <c r="C30" s="24" t="s">
        <v>102</v>
      </c>
      <c r="D30" s="6" t="s">
        <v>103</v>
      </c>
      <c r="F30" s="6"/>
      <c r="G30" s="6"/>
      <c r="H30" s="6"/>
      <c r="I30" s="6"/>
      <c r="J30" s="6"/>
      <c r="K30" s="6"/>
      <c r="L30" s="6"/>
      <c r="M30" s="6"/>
    </row>
    <row r="31" spans="1:17" ht="28.5">
      <c r="A31" s="24" t="s">
        <v>90</v>
      </c>
      <c r="B31" s="6" t="s">
        <v>104</v>
      </c>
      <c r="C31" s="24" t="s">
        <v>105</v>
      </c>
      <c r="D31" s="6" t="s">
        <v>106</v>
      </c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 ht="28.5">
      <c r="A32" s="24" t="s">
        <v>91</v>
      </c>
      <c r="B32" s="6" t="s">
        <v>108</v>
      </c>
      <c r="C32" s="24" t="s">
        <v>105</v>
      </c>
      <c r="D32" s="6" t="s">
        <v>106</v>
      </c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 ht="28.5">
      <c r="A33" s="24" t="s">
        <v>92</v>
      </c>
      <c r="B33" s="6" t="s">
        <v>109</v>
      </c>
      <c r="C33" s="24" t="s">
        <v>102</v>
      </c>
      <c r="D33" s="6" t="s">
        <v>103</v>
      </c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 ht="28.5">
      <c r="A34" s="24" t="s">
        <v>93</v>
      </c>
      <c r="B34" s="6" t="s">
        <v>110</v>
      </c>
      <c r="C34" s="24" t="s">
        <v>99</v>
      </c>
      <c r="D34" s="6" t="s">
        <v>111</v>
      </c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 ht="199.5">
      <c r="A37" s="9" t="s">
        <v>107</v>
      </c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8">
        <x14:dataValidation type="list" xr:uid="{00000000-0002-0000-0100-000000000000}">
          <x14:formula1>
            <xm:f>DB_Panels!$B$2:$B$6</xm:f>
          </x14:formula1>
          <xm:sqref>B5</xm:sqref>
        </x14:dataValidation>
        <x14:dataValidation type="list" xr:uid="{00000000-0002-0000-0100-000001000000}">
          <x14:formula1>
            <xm:f>DB_Inverters!$B$2:$B$3</xm:f>
          </x14:formula1>
          <xm:sqref>B6</xm:sqref>
        </x14:dataValidation>
        <x14:dataValidation type="list" xr:uid="{00000000-0002-0000-0100-000002000000}">
          <x14:formula1>
            <xm:f>DB_Batteries!$B$2:$B$5</xm:f>
          </x14:formula1>
          <xm:sqref>B7</xm:sqref>
        </x14:dataValidation>
        <x14:dataValidation type="list" xr:uid="{00000000-0002-0000-0100-000003000000}">
          <x14:formula1>
            <xm:f>DB_Lists!$B$2:$B$3</xm:f>
          </x14:formula1>
          <xm:sqref>B9</xm:sqref>
        </x14:dataValidation>
        <x14:dataValidation type="list" xr:uid="{00000000-0002-0000-0100-000004000000}">
          <x14:formula1>
            <xm:f>DB_Lists!$C$2:$C$4</xm:f>
          </x14:formula1>
          <xm:sqref>B10</xm:sqref>
        </x14:dataValidation>
        <x14:dataValidation type="list" xr:uid="{00000000-0002-0000-0100-000005000000}">
          <x14:formula1>
            <xm:f>DB_Lists!$D$2:$D$3</xm:f>
          </x14:formula1>
          <xm:sqref>B20</xm:sqref>
        </x14:dataValidation>
        <x14:dataValidation type="list" xr:uid="{00000000-0002-0000-0100-000006000000}">
          <x14:formula1>
            <xm:f>DB_Lists!$A$2:$A$8</xm:f>
          </x14:formula1>
          <xm:sqref>A24:L26</xm:sqref>
        </x14:dataValidation>
        <x14:dataValidation type="list" xr:uid="{00000000-0002-0000-0100-000007000000}">
          <x14:formula1>
            <xm:f>DB_Lists!$E$2:$E$4</xm:f>
          </x14:formula1>
          <xm:sqref>C29:C34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80"/>
  <sheetViews>
    <sheetView workbookViewId="0">
      <selection activeCell="L12" sqref="L12"/>
    </sheetView>
  </sheetViews>
  <sheetFormatPr defaultRowHeight="14.25"/>
  <cols>
    <col min="1" max="1" width="17" customWidth="1"/>
    <col min="2" max="2" width="17" style="32" customWidth="1"/>
    <col min="3" max="3" width="17" customWidth="1"/>
    <col min="4" max="15" width="16.625" customWidth="1"/>
  </cols>
  <sheetData>
    <row r="1" spans="1:17" ht="117">
      <c r="A1" s="10" t="s">
        <v>112</v>
      </c>
      <c r="B1" s="2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>
      <c r="A2" s="6"/>
      <c r="B2" s="2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30">
      <c r="A3" s="12" t="s">
        <v>113</v>
      </c>
      <c r="B3" s="26"/>
      <c r="C3" s="6"/>
      <c r="D3" s="13" t="s">
        <v>114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32.1" customHeight="1">
      <c r="A4" s="7" t="s">
        <v>49</v>
      </c>
      <c r="B4" s="33" t="str">
        <f>'02_Build'!B9</f>
        <v>Portrait</v>
      </c>
      <c r="C4" s="6"/>
      <c r="D4" s="15" t="s">
        <v>88</v>
      </c>
      <c r="E4" s="15" t="s">
        <v>88</v>
      </c>
      <c r="F4" s="16" t="s">
        <v>89</v>
      </c>
      <c r="G4" s="16" t="s">
        <v>89</v>
      </c>
      <c r="H4" s="17" t="s">
        <v>90</v>
      </c>
      <c r="I4" s="17" t="s">
        <v>90</v>
      </c>
      <c r="J4" s="18" t="s">
        <v>91</v>
      </c>
      <c r="K4" s="18" t="s">
        <v>91</v>
      </c>
      <c r="L4" s="19" t="s">
        <v>92</v>
      </c>
      <c r="M4" s="19" t="s">
        <v>92</v>
      </c>
      <c r="N4" s="20" t="s">
        <v>93</v>
      </c>
      <c r="O4" s="20" t="s">
        <v>93</v>
      </c>
      <c r="P4" s="6"/>
      <c r="Q4" s="6"/>
    </row>
    <row r="5" spans="1:17" ht="32.1" customHeight="1">
      <c r="A5" s="7" t="s">
        <v>58</v>
      </c>
      <c r="B5" s="34">
        <f>'02_Build'!B11</f>
        <v>3</v>
      </c>
      <c r="C5" s="6"/>
      <c r="D5" s="15" t="s">
        <v>88</v>
      </c>
      <c r="E5" s="15" t="s">
        <v>88</v>
      </c>
      <c r="F5" s="16" t="s">
        <v>89</v>
      </c>
      <c r="G5" s="16" t="s">
        <v>89</v>
      </c>
      <c r="H5" s="17" t="s">
        <v>90</v>
      </c>
      <c r="I5" s="17" t="s">
        <v>90</v>
      </c>
      <c r="J5" s="18" t="s">
        <v>91</v>
      </c>
      <c r="K5" s="18" t="s">
        <v>91</v>
      </c>
      <c r="L5" s="19" t="s">
        <v>92</v>
      </c>
      <c r="M5" s="19" t="s">
        <v>92</v>
      </c>
      <c r="N5" s="20" t="s">
        <v>93</v>
      </c>
      <c r="O5" s="20" t="s">
        <v>93</v>
      </c>
      <c r="P5" s="6"/>
      <c r="Q5" s="6"/>
    </row>
    <row r="6" spans="1:17" ht="32.1" customHeight="1">
      <c r="A6" s="7" t="s">
        <v>60</v>
      </c>
      <c r="B6" s="34">
        <f>'02_Build'!B12</f>
        <v>12</v>
      </c>
      <c r="C6" s="6"/>
      <c r="D6" s="15" t="s">
        <v>88</v>
      </c>
      <c r="E6" s="15" t="s">
        <v>88</v>
      </c>
      <c r="F6" s="16" t="s">
        <v>89</v>
      </c>
      <c r="G6" s="16" t="s">
        <v>89</v>
      </c>
      <c r="H6" s="17" t="s">
        <v>90</v>
      </c>
      <c r="I6" s="17" t="s">
        <v>90</v>
      </c>
      <c r="J6" s="18" t="s">
        <v>91</v>
      </c>
      <c r="K6" s="18" t="s">
        <v>91</v>
      </c>
      <c r="L6" s="19" t="s">
        <v>92</v>
      </c>
      <c r="M6" s="19" t="s">
        <v>92</v>
      </c>
      <c r="N6" s="20" t="s">
        <v>93</v>
      </c>
      <c r="O6" s="20" t="s">
        <v>93</v>
      </c>
      <c r="P6" s="6"/>
      <c r="Q6" s="6"/>
    </row>
    <row r="7" spans="1:17" ht="15">
      <c r="A7" s="7" t="s">
        <v>65</v>
      </c>
      <c r="B7" s="34">
        <f>'02_Build'!B14</f>
        <v>37</v>
      </c>
      <c r="C7" s="6"/>
      <c r="D7" s="6"/>
      <c r="E7" s="6"/>
      <c r="F7" s="6"/>
      <c r="G7" s="6"/>
      <c r="H7" s="6"/>
      <c r="I7" s="6"/>
      <c r="J7" s="6"/>
      <c r="K7" s="6"/>
      <c r="L7" s="6"/>
      <c r="M7" s="6"/>
      <c r="N7" s="6"/>
      <c r="O7" s="6"/>
      <c r="P7" s="6"/>
      <c r="Q7" s="6"/>
    </row>
    <row r="8" spans="1:17" ht="15">
      <c r="A8" s="7" t="s">
        <v>54</v>
      </c>
      <c r="B8" s="33" t="str">
        <f>'02_Build'!B10</f>
        <v>Single Mount</v>
      </c>
      <c r="C8" s="6"/>
      <c r="D8" s="6"/>
      <c r="E8" s="6"/>
      <c r="F8" s="6"/>
      <c r="G8" s="6"/>
      <c r="H8" s="6"/>
      <c r="I8" s="6"/>
      <c r="J8" s="6"/>
      <c r="K8" s="6"/>
      <c r="L8" s="6"/>
      <c r="M8" s="6"/>
      <c r="N8" s="6"/>
      <c r="O8" s="6"/>
      <c r="P8" s="6"/>
      <c r="Q8" s="6"/>
    </row>
    <row r="9" spans="1:17" ht="15">
      <c r="A9" s="7" t="s">
        <v>70</v>
      </c>
      <c r="B9" s="34">
        <f>'02_Build'!F16</f>
        <v>47.440944881889763</v>
      </c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  <c r="P9" s="6"/>
      <c r="Q9" s="6"/>
    </row>
    <row r="10" spans="1:17" ht="15">
      <c r="A10" s="7" t="s">
        <v>115</v>
      </c>
      <c r="B10" s="34">
        <f>'02_Build'!F17</f>
        <v>17.00787401574803</v>
      </c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  <c r="N10" s="6"/>
      <c r="O10" s="6"/>
      <c r="P10" s="6"/>
      <c r="Q10" s="6"/>
    </row>
    <row r="11" spans="1:17" ht="15">
      <c r="A11" s="7" t="s">
        <v>76</v>
      </c>
      <c r="B11" s="34">
        <f>'02_Build'!F18</f>
        <v>13.583092139387027</v>
      </c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5">
      <c r="A12" s="7" t="s">
        <v>116</v>
      </c>
      <c r="B12" s="34">
        <f>'02_Build'!F19</f>
        <v>10.235594094554521</v>
      </c>
      <c r="C12" s="6"/>
      <c r="D12" s="6"/>
      <c r="E12" s="6"/>
      <c r="F12" s="6"/>
      <c r="G12" s="6"/>
      <c r="H12" s="6"/>
      <c r="I12" s="6"/>
      <c r="J12" s="6"/>
      <c r="K12" s="6"/>
      <c r="L12" s="6"/>
      <c r="M12" s="6"/>
      <c r="N12" s="6"/>
      <c r="O12" s="6"/>
      <c r="P12" s="6"/>
      <c r="Q12" s="6"/>
    </row>
    <row r="13" spans="1:17">
      <c r="A13" s="6"/>
      <c r="B13" s="26"/>
      <c r="C13" s="6"/>
      <c r="D13" s="6"/>
      <c r="E13" s="6"/>
      <c r="F13" s="6"/>
      <c r="G13" s="6"/>
      <c r="H13" s="6"/>
      <c r="I13" s="6"/>
      <c r="J13" s="6"/>
      <c r="K13" s="6"/>
      <c r="L13" s="6"/>
      <c r="M13" s="6"/>
      <c r="N13" s="6"/>
      <c r="O13" s="6"/>
      <c r="P13" s="6"/>
      <c r="Q13" s="6"/>
    </row>
    <row r="14" spans="1:17">
      <c r="A14" s="6"/>
      <c r="B14" s="26"/>
      <c r="C14" s="6"/>
      <c r="D14" s="6"/>
      <c r="E14" s="6"/>
      <c r="F14" s="6"/>
      <c r="G14" s="6"/>
      <c r="H14" s="6"/>
      <c r="I14" s="6"/>
      <c r="J14" s="6"/>
      <c r="K14" s="6"/>
      <c r="L14" s="6"/>
      <c r="M14" s="6"/>
      <c r="N14" s="6"/>
      <c r="O14" s="6"/>
      <c r="P14" s="6"/>
      <c r="Q14" s="6"/>
    </row>
    <row r="15" spans="1:17" ht="30">
      <c r="A15" s="12" t="s">
        <v>117</v>
      </c>
      <c r="B15" s="2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  <c r="P15" s="6"/>
      <c r="Q15" s="6"/>
    </row>
    <row r="16" spans="1:17" ht="15">
      <c r="A16" s="13" t="s">
        <v>118</v>
      </c>
      <c r="B16" s="35" t="s">
        <v>49</v>
      </c>
      <c r="C16" s="22" t="s">
        <v>119</v>
      </c>
      <c r="D16" s="22" t="s">
        <v>120</v>
      </c>
      <c r="E16" s="22" t="s">
        <v>121</v>
      </c>
      <c r="F16" s="22" t="s">
        <v>122</v>
      </c>
      <c r="G16" s="22" t="s">
        <v>116</v>
      </c>
      <c r="H16" s="22" t="s">
        <v>76</v>
      </c>
      <c r="I16" s="13" t="s">
        <v>123</v>
      </c>
      <c r="J16" s="13" t="s">
        <v>124</v>
      </c>
      <c r="K16" s="6"/>
      <c r="L16" s="6"/>
      <c r="M16" s="6"/>
      <c r="N16" s="6"/>
      <c r="O16" s="6"/>
      <c r="P16" s="6"/>
      <c r="Q16" s="6"/>
    </row>
    <row r="17" spans="1:17" ht="28.5">
      <c r="A17" s="6" t="s">
        <v>125</v>
      </c>
      <c r="B17" s="26" t="s">
        <v>50</v>
      </c>
      <c r="C17" s="24">
        <v>3</v>
      </c>
      <c r="D17" s="24">
        <v>12</v>
      </c>
      <c r="E17" s="23">
        <f>C17*D17</f>
        <v>36</v>
      </c>
      <c r="F17" s="23">
        <f>IF(B17="Portrait",D17*'02_Build'!F14,D17*'02_Build'!F15)</f>
        <v>47.440944881889763</v>
      </c>
      <c r="G17" s="23">
        <f>IF(B17="Portrait",C17*'02_Build'!F15,C17*'02_Build'!F14)*SIN(RADIANS('02_Build'!$B$14))</f>
        <v>10.235594094554521</v>
      </c>
      <c r="H17" s="23">
        <f>IF(B17="Portrait",C17*'02_Build'!F15,C17*'02_Build'!F14)*COS(RADIANS('02_Build'!$B$14))</f>
        <v>13.583092139387027</v>
      </c>
      <c r="I17" s="6" t="s">
        <v>126</v>
      </c>
      <c r="J17" s="6" t="s">
        <v>127</v>
      </c>
      <c r="K17" s="6"/>
      <c r="L17" s="6"/>
      <c r="M17" s="6"/>
      <c r="N17" s="6"/>
      <c r="O17" s="6"/>
      <c r="P17" s="6"/>
      <c r="Q17" s="6"/>
    </row>
    <row r="18" spans="1:17" ht="28.5">
      <c r="A18" s="6" t="s">
        <v>125</v>
      </c>
      <c r="B18" s="26" t="s">
        <v>128</v>
      </c>
      <c r="C18" s="24">
        <v>3</v>
      </c>
      <c r="D18" s="24">
        <v>12</v>
      </c>
      <c r="E18" s="23">
        <f>C18*D18</f>
        <v>36</v>
      </c>
      <c r="F18" s="23">
        <f>IF(B18="Portrait",D18*'02_Build'!F14,D18*'02_Build'!F15)</f>
        <v>68.031496062992119</v>
      </c>
      <c r="G18" s="23">
        <f>IF(B18="Portrait",C18*'02_Build'!F15,C18*'02_Build'!F14)*SIN(RADIANS('02_Build'!$B$14))</f>
        <v>7.1376683356123838</v>
      </c>
      <c r="H18" s="23">
        <f>IF(B18="Portrait",C18*'02_Build'!F15,C18*'02_Build'!F14)*COS(RADIANS('02_Build'!$B$14))</f>
        <v>9.4720058032183836</v>
      </c>
      <c r="I18" s="6" t="s">
        <v>126</v>
      </c>
      <c r="J18" s="6" t="s">
        <v>129</v>
      </c>
      <c r="K18" s="6"/>
      <c r="L18" s="6"/>
      <c r="M18" s="6"/>
      <c r="N18" s="6"/>
      <c r="O18" s="6"/>
      <c r="P18" s="6"/>
      <c r="Q18" s="6"/>
    </row>
    <row r="19" spans="1:17" ht="42.75">
      <c r="A19" s="6" t="s">
        <v>130</v>
      </c>
      <c r="B19" s="26" t="s">
        <v>50</v>
      </c>
      <c r="C19" s="24">
        <v>2</v>
      </c>
      <c r="D19" s="24">
        <v>18</v>
      </c>
      <c r="E19" s="23">
        <f>C19*D19</f>
        <v>36</v>
      </c>
      <c r="F19" s="23">
        <f>IF(B19="Portrait",D19*'02_Build'!F14,D19*'02_Build'!F15)</f>
        <v>71.161417322834637</v>
      </c>
      <c r="G19" s="23">
        <f>IF(B19="Portrait",C19*'02_Build'!F15,C19*'02_Build'!F14)*SIN(RADIANS('02_Build'!$B$14))</f>
        <v>6.8237293963696803</v>
      </c>
      <c r="H19" s="23">
        <f>IF(B19="Portrait",C19*'02_Build'!F15,C19*'02_Build'!F14)*COS(RADIANS('02_Build'!$B$14))</f>
        <v>9.0553947595913513</v>
      </c>
      <c r="I19" s="6" t="s">
        <v>131</v>
      </c>
      <c r="J19" s="6" t="s">
        <v>132</v>
      </c>
      <c r="K19" s="6"/>
      <c r="L19" s="6"/>
      <c r="M19" s="6"/>
      <c r="N19" s="6"/>
      <c r="O19" s="6"/>
      <c r="P19" s="6"/>
      <c r="Q19" s="6"/>
    </row>
    <row r="20" spans="1:17" ht="57">
      <c r="A20" s="6" t="s">
        <v>133</v>
      </c>
      <c r="B20" s="26" t="s">
        <v>50</v>
      </c>
      <c r="C20" s="24">
        <v>2</v>
      </c>
      <c r="D20" s="24">
        <v>9</v>
      </c>
      <c r="E20" s="23">
        <f>2*C20*D20</f>
        <v>36</v>
      </c>
      <c r="F20" s="23">
        <f>IF(B20="Portrait",D20*'02_Build'!F14,D20*'02_Build'!F15)</f>
        <v>35.580708661417319</v>
      </c>
      <c r="G20" s="23">
        <f>IF(B20="Portrait",C20*'02_Build'!F15,C20*'02_Build'!F14)*SIN(RADIANS('02_Build'!$B$14))</f>
        <v>6.8237293963696803</v>
      </c>
      <c r="H20" s="23">
        <f>IF(B20="Portrait",C20*'02_Build'!F15,C20*'02_Build'!F14)*COS(RADIANS('02_Build'!$B$14))</f>
        <v>9.0553947595913513</v>
      </c>
      <c r="I20" s="6" t="s">
        <v>134</v>
      </c>
      <c r="J20" s="6" t="s">
        <v>135</v>
      </c>
      <c r="K20" s="6"/>
      <c r="L20" s="6"/>
      <c r="M20" s="6"/>
      <c r="N20" s="6"/>
      <c r="O20" s="6"/>
      <c r="P20" s="6"/>
      <c r="Q20" s="6"/>
    </row>
    <row r="21" spans="1:17">
      <c r="A21" s="6"/>
      <c r="B21" s="2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>
      <c r="A22" s="6"/>
      <c r="B22" s="2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>
      <c r="A23" s="6"/>
      <c r="B23" s="2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>
      <c r="A24" s="6"/>
      <c r="B24" s="2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>
      <c r="A25" s="6"/>
      <c r="B25" s="2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>
      <c r="A26" s="6"/>
      <c r="B26" s="2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>
      <c r="A27" s="6"/>
      <c r="B27" s="2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>
      <c r="A28" s="6"/>
      <c r="B28" s="2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>
      <c r="A29" s="6"/>
      <c r="B29" s="2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>
      <c r="A30" s="6"/>
      <c r="B30" s="2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>
      <c r="A31" s="6"/>
      <c r="B31" s="2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>
      <c r="A32" s="6"/>
      <c r="B32" s="2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>
      <c r="A33" s="6"/>
      <c r="B33" s="2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>
      <c r="A34" s="6"/>
      <c r="B34" s="2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>
      <c r="A35" s="6"/>
      <c r="B35" s="2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>
      <c r="A36" s="6"/>
      <c r="B36" s="2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>
      <c r="A37" s="6"/>
      <c r="B37" s="2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>
      <c r="A38" s="6"/>
      <c r="B38" s="2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>
      <c r="A39" s="6"/>
      <c r="B39" s="2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>
      <c r="A40" s="6"/>
      <c r="B40" s="2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>
      <c r="A41" s="6"/>
      <c r="B41" s="2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>
      <c r="A42" s="6"/>
      <c r="B42" s="2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>
      <c r="A43" s="6"/>
      <c r="B43" s="2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>
      <c r="A44" s="6"/>
      <c r="B44" s="2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>
      <c r="A45" s="6"/>
      <c r="B45" s="2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>
      <c r="A46" s="6"/>
      <c r="B46" s="2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>
      <c r="A47" s="6"/>
      <c r="B47" s="2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>
      <c r="A48" s="6"/>
      <c r="B48" s="2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>
      <c r="A49" s="6"/>
      <c r="B49" s="2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>
      <c r="A50" s="6"/>
      <c r="B50" s="2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>
      <c r="A51" s="6"/>
      <c r="B51" s="2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>
      <c r="A52" s="6"/>
      <c r="B52" s="2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>
      <c r="A53" s="6"/>
      <c r="B53" s="2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>
      <c r="A54" s="6"/>
      <c r="B54" s="2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>
      <c r="A55" s="6"/>
      <c r="B55" s="2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>
      <c r="A56" s="6"/>
      <c r="B56" s="2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>
      <c r="A57" s="6"/>
      <c r="B57" s="2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>
      <c r="A58" s="6"/>
      <c r="B58" s="2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>
      <c r="A59" s="6"/>
      <c r="B59" s="2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>
      <c r="A60" s="6"/>
      <c r="B60" s="2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>
      <c r="A61" s="1"/>
      <c r="B61" s="3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3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3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3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3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3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3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3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3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3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3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3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3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3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3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3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3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3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3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3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xr:uid="{00000000-0002-0000-0200-000000000000}">
          <x14:formula1>
            <xm:f>DB_Lists!$A$2:$A$8</xm:f>
          </x14:formula1>
          <xm:sqref>D4:O6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Q80"/>
  <sheetViews>
    <sheetView workbookViewId="0">
      <selection activeCell="G13" sqref="G13"/>
    </sheetView>
  </sheetViews>
  <sheetFormatPr defaultRowHeight="14.25"/>
  <cols>
    <col min="1" max="1" width="31" customWidth="1"/>
    <col min="2" max="8" width="19" customWidth="1"/>
  </cols>
  <sheetData>
    <row r="1" spans="1:17" ht="58.5">
      <c r="A1" s="10" t="s">
        <v>136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</row>
    <row r="2" spans="1:17">
      <c r="A2" s="6"/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30">
      <c r="A3" s="12" t="s">
        <v>137</v>
      </c>
      <c r="B3" s="6"/>
      <c r="C3" s="6"/>
      <c r="D3" s="13" t="s">
        <v>138</v>
      </c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">
      <c r="A4" s="7" t="s">
        <v>139</v>
      </c>
      <c r="B4" s="8" t="s">
        <v>140</v>
      </c>
      <c r="C4" s="6"/>
      <c r="D4" s="13" t="s">
        <v>94</v>
      </c>
      <c r="E4" s="13" t="s">
        <v>141</v>
      </c>
      <c r="F4" s="13" t="s">
        <v>142</v>
      </c>
      <c r="G4" s="13" t="s">
        <v>143</v>
      </c>
      <c r="H4" s="13" t="s">
        <v>144</v>
      </c>
      <c r="I4" s="6"/>
      <c r="J4" s="6"/>
      <c r="K4" s="6"/>
      <c r="L4" s="6"/>
      <c r="M4" s="6"/>
      <c r="N4" s="6"/>
      <c r="O4" s="6"/>
      <c r="P4" s="6"/>
      <c r="Q4" s="6"/>
    </row>
    <row r="5" spans="1:17" ht="15">
      <c r="A5" s="7" t="s">
        <v>145</v>
      </c>
      <c r="B5" s="8">
        <v>2</v>
      </c>
      <c r="C5" s="6"/>
      <c r="D5" s="6" t="s">
        <v>88</v>
      </c>
      <c r="E5" s="6" t="s">
        <v>146</v>
      </c>
      <c r="F5" s="6" t="str">
        <f>IF($B$5&gt;=2,"YES","NO")</f>
        <v>YES</v>
      </c>
      <c r="G5" s="21">
        <f t="shared" ref="G5:G10" si="0">IF(F5="YES",$B$6,$B$7)</f>
        <v>0.15</v>
      </c>
      <c r="H5" s="6" t="str">
        <f>'02_Build'!C29</f>
        <v>MPPT1</v>
      </c>
      <c r="I5" s="6"/>
      <c r="J5" s="6"/>
      <c r="K5" s="6"/>
      <c r="L5" s="6"/>
      <c r="M5" s="6"/>
      <c r="N5" s="6"/>
      <c r="O5" s="6"/>
      <c r="P5" s="6"/>
      <c r="Q5" s="6"/>
    </row>
    <row r="6" spans="1:17" ht="15">
      <c r="A6" s="7" t="s">
        <v>147</v>
      </c>
      <c r="B6" s="29">
        <v>0.15</v>
      </c>
      <c r="C6" s="6"/>
      <c r="D6" s="6" t="s">
        <v>89</v>
      </c>
      <c r="E6" s="6" t="s">
        <v>148</v>
      </c>
      <c r="F6" s="6" t="str">
        <f>IF($B$5&gt;=4,"YES","NO")</f>
        <v>NO</v>
      </c>
      <c r="G6" s="21">
        <f t="shared" si="0"/>
        <v>1</v>
      </c>
      <c r="H6" s="6" t="str">
        <f>'02_Build'!C30</f>
        <v>MPPT2</v>
      </c>
      <c r="I6" s="6"/>
      <c r="J6" s="6"/>
      <c r="K6" s="6"/>
      <c r="L6" s="6"/>
      <c r="M6" s="6"/>
      <c r="N6" s="6"/>
      <c r="O6" s="6"/>
      <c r="P6" s="6"/>
      <c r="Q6" s="6"/>
    </row>
    <row r="7" spans="1:17" ht="15">
      <c r="A7" s="7" t="s">
        <v>149</v>
      </c>
      <c r="B7" s="29">
        <v>1</v>
      </c>
      <c r="C7" s="6"/>
      <c r="D7" s="6" t="s">
        <v>90</v>
      </c>
      <c r="E7" s="6" t="s">
        <v>150</v>
      </c>
      <c r="F7" s="6" t="str">
        <f>IF($B$5&gt;=6,"YES","NO")</f>
        <v>NO</v>
      </c>
      <c r="G7" s="21">
        <f t="shared" si="0"/>
        <v>1</v>
      </c>
      <c r="H7" s="6" t="str">
        <f>'02_Build'!C31</f>
        <v>MPPT3</v>
      </c>
      <c r="I7" s="6"/>
      <c r="J7" s="6"/>
      <c r="K7" s="6"/>
      <c r="L7" s="6"/>
      <c r="M7" s="6"/>
      <c r="N7" s="6"/>
      <c r="O7" s="6"/>
      <c r="P7" s="6"/>
      <c r="Q7" s="6"/>
    </row>
    <row r="8" spans="1:17" ht="15">
      <c r="A8" s="7" t="s">
        <v>151</v>
      </c>
      <c r="B8" s="8" t="s">
        <v>152</v>
      </c>
      <c r="C8" s="6"/>
      <c r="D8" s="6" t="s">
        <v>91</v>
      </c>
      <c r="E8" s="6" t="s">
        <v>153</v>
      </c>
      <c r="F8" s="6" t="str">
        <f>IF($B$5&gt;=8,"YES","NO")</f>
        <v>NO</v>
      </c>
      <c r="G8" s="21">
        <f t="shared" si="0"/>
        <v>1</v>
      </c>
      <c r="H8" s="6" t="str">
        <f>'02_Build'!C32</f>
        <v>MPPT3</v>
      </c>
      <c r="I8" s="6"/>
      <c r="J8" s="6"/>
      <c r="K8" s="6"/>
      <c r="L8" s="6"/>
      <c r="M8" s="6"/>
      <c r="N8" s="6"/>
      <c r="O8" s="6"/>
      <c r="P8" s="6"/>
      <c r="Q8" s="6"/>
    </row>
    <row r="9" spans="1:17">
      <c r="A9" s="6"/>
      <c r="B9" s="6"/>
      <c r="C9" s="6"/>
      <c r="D9" s="6" t="s">
        <v>92</v>
      </c>
      <c r="E9" s="6" t="s">
        <v>154</v>
      </c>
      <c r="F9" s="6" t="str">
        <f>IF($B$5&gt;=10,"YES","NO")</f>
        <v>NO</v>
      </c>
      <c r="G9" s="21">
        <f t="shared" si="0"/>
        <v>1</v>
      </c>
      <c r="H9" s="6" t="str">
        <f>'02_Build'!C33</f>
        <v>MPPT2</v>
      </c>
      <c r="I9" s="6"/>
      <c r="J9" s="6"/>
      <c r="K9" s="6"/>
      <c r="L9" s="6"/>
      <c r="M9" s="6"/>
      <c r="N9" s="6"/>
      <c r="O9" s="6"/>
      <c r="P9" s="6"/>
      <c r="Q9" s="6"/>
    </row>
    <row r="10" spans="1:17">
      <c r="A10" s="6"/>
      <c r="B10" s="6"/>
      <c r="C10" s="6"/>
      <c r="D10" s="6" t="s">
        <v>93</v>
      </c>
      <c r="E10" s="6" t="s">
        <v>155</v>
      </c>
      <c r="F10" s="6" t="str">
        <f>IF($B$5&gt;=12,"YES","NO")</f>
        <v>NO</v>
      </c>
      <c r="G10" s="21">
        <f t="shared" si="0"/>
        <v>1</v>
      </c>
      <c r="H10" s="6" t="str">
        <f>'02_Build'!C34</f>
        <v>MPPT1</v>
      </c>
      <c r="I10" s="6"/>
      <c r="J10" s="6"/>
      <c r="K10" s="6"/>
      <c r="L10" s="6"/>
      <c r="M10" s="6"/>
      <c r="N10" s="6"/>
      <c r="O10" s="6"/>
      <c r="P10" s="6"/>
      <c r="Q10" s="6"/>
    </row>
    <row r="11" spans="1:17">
      <c r="A11" s="6"/>
      <c r="B11" s="6"/>
      <c r="C11" s="6"/>
      <c r="D11" s="6"/>
      <c r="E11" s="6"/>
      <c r="F11" s="6"/>
      <c r="G11" s="6"/>
      <c r="H11" s="6"/>
      <c r="I11" s="6"/>
      <c r="J11" s="6"/>
      <c r="K11" s="6"/>
      <c r="L11" s="6"/>
      <c r="M11" s="6"/>
      <c r="N11" s="6"/>
      <c r="O11" s="6"/>
      <c r="P11" s="6"/>
      <c r="Q11" s="6"/>
    </row>
    <row r="12" spans="1:17" ht="15">
      <c r="A12" s="6"/>
      <c r="B12" s="6"/>
      <c r="C12" s="6"/>
      <c r="D12" s="12" t="s">
        <v>96</v>
      </c>
      <c r="E12" s="12" t="s">
        <v>156</v>
      </c>
      <c r="F12" s="12" t="s">
        <v>157</v>
      </c>
      <c r="G12" s="12" t="s">
        <v>158</v>
      </c>
      <c r="H12" s="12" t="s">
        <v>159</v>
      </c>
      <c r="I12" s="6"/>
      <c r="J12" s="6"/>
      <c r="K12" s="6"/>
      <c r="L12" s="6"/>
      <c r="M12" s="6"/>
      <c r="N12" s="6"/>
      <c r="O12" s="6"/>
      <c r="P12" s="6"/>
      <c r="Q12" s="6"/>
    </row>
    <row r="13" spans="1:17" ht="28.5">
      <c r="A13" s="6"/>
      <c r="B13" s="6"/>
      <c r="C13" s="6"/>
      <c r="D13" s="6" t="s">
        <v>99</v>
      </c>
      <c r="E13" s="6" t="s">
        <v>88</v>
      </c>
      <c r="F13" s="6" t="s">
        <v>93</v>
      </c>
      <c r="G13" s="21">
        <f>AVERAGE(G5,G10)</f>
        <v>0.57499999999999996</v>
      </c>
      <c r="H13" s="6" t="s">
        <v>160</v>
      </c>
      <c r="I13" s="6"/>
      <c r="J13" s="6"/>
      <c r="K13" s="6"/>
      <c r="L13" s="6"/>
      <c r="M13" s="6"/>
      <c r="N13" s="6"/>
      <c r="O13" s="6"/>
      <c r="P13" s="6"/>
      <c r="Q13" s="6"/>
    </row>
    <row r="14" spans="1:17" ht="28.5">
      <c r="A14" s="6"/>
      <c r="B14" s="6"/>
      <c r="C14" s="6"/>
      <c r="D14" s="6" t="s">
        <v>102</v>
      </c>
      <c r="E14" s="6" t="s">
        <v>89</v>
      </c>
      <c r="F14" s="6" t="s">
        <v>92</v>
      </c>
      <c r="G14" s="21">
        <f>AVERAGE(G6,G9)</f>
        <v>1</v>
      </c>
      <c r="H14" s="6" t="s">
        <v>161</v>
      </c>
      <c r="I14" s="6"/>
      <c r="J14" s="6"/>
      <c r="K14" s="6"/>
      <c r="L14" s="6"/>
      <c r="M14" s="6"/>
      <c r="N14" s="6"/>
      <c r="O14" s="6"/>
      <c r="P14" s="6"/>
      <c r="Q14" s="6"/>
    </row>
    <row r="15" spans="1:17">
      <c r="A15" s="6"/>
      <c r="B15" s="6"/>
      <c r="C15" s="6"/>
      <c r="D15" s="6" t="s">
        <v>105</v>
      </c>
      <c r="E15" s="6" t="s">
        <v>90</v>
      </c>
      <c r="F15" s="6" t="s">
        <v>91</v>
      </c>
      <c r="G15" s="21">
        <f>AVERAGE(G7,G8)</f>
        <v>1</v>
      </c>
      <c r="H15" s="6" t="s">
        <v>162</v>
      </c>
      <c r="I15" s="6"/>
      <c r="J15" s="6"/>
      <c r="K15" s="6"/>
      <c r="L15" s="6"/>
      <c r="M15" s="6"/>
      <c r="N15" s="6"/>
      <c r="O15" s="6"/>
      <c r="P15" s="6"/>
      <c r="Q15" s="6"/>
    </row>
    <row r="16" spans="1:17">
      <c r="A16" s="6"/>
      <c r="B16" s="6"/>
      <c r="C16" s="6"/>
      <c r="D16" s="6"/>
      <c r="E16" s="6"/>
      <c r="F16" s="6"/>
      <c r="G16" s="6"/>
      <c r="H16" s="6"/>
      <c r="I16" s="6"/>
      <c r="J16" s="6"/>
      <c r="K16" s="6"/>
      <c r="L16" s="6"/>
      <c r="M16" s="6"/>
      <c r="N16" s="6"/>
      <c r="O16" s="6"/>
      <c r="P16" s="6"/>
      <c r="Q16" s="6"/>
    </row>
    <row r="17" spans="1:17">
      <c r="A17" s="6"/>
      <c r="B17" s="6"/>
      <c r="C17" s="6"/>
      <c r="D17" s="6"/>
      <c r="E17" s="6"/>
      <c r="F17" s="6"/>
      <c r="G17" s="6"/>
      <c r="H17" s="6"/>
      <c r="I17" s="6"/>
      <c r="J17" s="6"/>
      <c r="K17" s="6"/>
      <c r="L17" s="6"/>
      <c r="M17" s="6"/>
      <c r="N17" s="6"/>
      <c r="O17" s="6"/>
      <c r="P17" s="6"/>
      <c r="Q17" s="6"/>
    </row>
    <row r="18" spans="1:17" ht="99.75">
      <c r="A18" s="9" t="s">
        <v>163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  <c r="M18" s="6"/>
      <c r="N18" s="6"/>
      <c r="O18" s="6"/>
      <c r="P18" s="6"/>
      <c r="Q18" s="6"/>
    </row>
    <row r="19" spans="1:17">
      <c r="A19" s="6"/>
      <c r="B19" s="6"/>
      <c r="C19" s="6"/>
      <c r="D19" s="6"/>
      <c r="E19" s="6"/>
      <c r="F19" s="6"/>
      <c r="G19" s="6"/>
      <c r="H19" s="6"/>
      <c r="I19" s="6"/>
      <c r="J19" s="6"/>
      <c r="K19" s="6"/>
      <c r="L19" s="6"/>
      <c r="M19" s="6"/>
      <c r="N19" s="6"/>
      <c r="O19" s="6"/>
      <c r="P19" s="6"/>
      <c r="Q19" s="6"/>
    </row>
    <row r="20" spans="1:17">
      <c r="A20" s="6"/>
      <c r="B20" s="6"/>
      <c r="C20" s="6"/>
      <c r="D20" s="6"/>
      <c r="E20" s="6"/>
      <c r="F20" s="6"/>
      <c r="G20" s="6"/>
      <c r="H20" s="6"/>
      <c r="I20" s="6"/>
      <c r="J20" s="6"/>
      <c r="K20" s="6"/>
      <c r="L20" s="6"/>
      <c r="M20" s="6"/>
      <c r="N20" s="6"/>
      <c r="O20" s="6"/>
      <c r="P20" s="6"/>
      <c r="Q20" s="6"/>
    </row>
    <row r="21" spans="1:17">
      <c r="A21" s="6"/>
      <c r="B21" s="6"/>
      <c r="C21" s="6"/>
      <c r="D21" s="6"/>
      <c r="E21" s="6"/>
      <c r="F21" s="6"/>
      <c r="G21" s="6"/>
      <c r="H21" s="6"/>
      <c r="I21" s="6"/>
      <c r="J21" s="6"/>
      <c r="K21" s="6"/>
      <c r="L21" s="6"/>
      <c r="M21" s="6"/>
      <c r="N21" s="6"/>
      <c r="O21" s="6"/>
      <c r="P21" s="6"/>
      <c r="Q21" s="6"/>
    </row>
    <row r="22" spans="1:17">
      <c r="A22" s="6"/>
      <c r="B22" s="6"/>
      <c r="C22" s="6"/>
      <c r="D22" s="6"/>
      <c r="E22" s="6"/>
      <c r="F22" s="6"/>
      <c r="G22" s="6"/>
      <c r="H22" s="6"/>
      <c r="I22" s="6"/>
      <c r="J22" s="6"/>
      <c r="K22" s="6"/>
      <c r="L22" s="6"/>
      <c r="M22" s="6"/>
      <c r="N22" s="6"/>
      <c r="O22" s="6"/>
      <c r="P22" s="6"/>
      <c r="Q22" s="6"/>
    </row>
    <row r="23" spans="1:17">
      <c r="A23" s="6"/>
      <c r="B23" s="6"/>
      <c r="C23" s="6"/>
      <c r="D23" s="6"/>
      <c r="E23" s="6"/>
      <c r="F23" s="6"/>
      <c r="G23" s="6"/>
      <c r="H23" s="6"/>
      <c r="I23" s="6"/>
      <c r="J23" s="6"/>
      <c r="K23" s="6"/>
      <c r="L23" s="6"/>
      <c r="M23" s="6"/>
      <c r="N23" s="6"/>
      <c r="O23" s="6"/>
      <c r="P23" s="6"/>
      <c r="Q23" s="6"/>
    </row>
    <row r="24" spans="1:17">
      <c r="A24" s="6"/>
      <c r="B24" s="6"/>
      <c r="C24" s="6"/>
      <c r="D24" s="6"/>
      <c r="E24" s="6"/>
      <c r="F24" s="6"/>
      <c r="G24" s="6"/>
      <c r="H24" s="6"/>
      <c r="I24" s="6"/>
      <c r="J24" s="6"/>
      <c r="K24" s="6"/>
      <c r="L24" s="6"/>
      <c r="M24" s="6"/>
      <c r="N24" s="6"/>
      <c r="O24" s="6"/>
      <c r="P24" s="6"/>
      <c r="Q24" s="6"/>
    </row>
    <row r="25" spans="1:17">
      <c r="A25" s="6"/>
      <c r="B25" s="6"/>
      <c r="C25" s="6"/>
      <c r="D25" s="6"/>
      <c r="E25" s="6"/>
      <c r="F25" s="6"/>
      <c r="G25" s="6"/>
      <c r="H25" s="6"/>
      <c r="I25" s="6"/>
      <c r="J25" s="6"/>
      <c r="K25" s="6"/>
      <c r="L25" s="6"/>
      <c r="M25" s="6"/>
      <c r="N25" s="6"/>
      <c r="O25" s="6"/>
      <c r="P25" s="6"/>
      <c r="Q25" s="6"/>
    </row>
    <row r="26" spans="1:17">
      <c r="A26" s="6"/>
      <c r="B26" s="6"/>
      <c r="C26" s="6"/>
      <c r="D26" s="6"/>
      <c r="E26" s="6"/>
      <c r="F26" s="6"/>
      <c r="G26" s="6"/>
      <c r="H26" s="6"/>
      <c r="I26" s="6"/>
      <c r="J26" s="6"/>
      <c r="K26" s="6"/>
      <c r="L26" s="6"/>
      <c r="M26" s="6"/>
      <c r="N26" s="6"/>
      <c r="O26" s="6"/>
      <c r="P26" s="6"/>
      <c r="Q26" s="6"/>
    </row>
    <row r="27" spans="1:17">
      <c r="A27" s="6"/>
      <c r="B27" s="6"/>
      <c r="C27" s="6"/>
      <c r="D27" s="6"/>
      <c r="E27" s="6"/>
      <c r="F27" s="6"/>
      <c r="G27" s="6"/>
      <c r="H27" s="6"/>
      <c r="I27" s="6"/>
      <c r="J27" s="6"/>
      <c r="K27" s="6"/>
      <c r="L27" s="6"/>
      <c r="M27" s="6"/>
      <c r="N27" s="6"/>
      <c r="O27" s="6"/>
      <c r="P27" s="6"/>
      <c r="Q27" s="6"/>
    </row>
    <row r="28" spans="1:17">
      <c r="A28" s="6"/>
      <c r="B28" s="6"/>
      <c r="C28" s="6"/>
      <c r="D28" s="6"/>
      <c r="E28" s="6"/>
      <c r="F28" s="6"/>
      <c r="G28" s="6"/>
      <c r="H28" s="6"/>
      <c r="I28" s="6"/>
      <c r="J28" s="6"/>
      <c r="K28" s="6"/>
      <c r="L28" s="6"/>
      <c r="M28" s="6"/>
      <c r="N28" s="6"/>
      <c r="O28" s="6"/>
      <c r="P28" s="6"/>
      <c r="Q28" s="6"/>
    </row>
    <row r="29" spans="1:17">
      <c r="A29" s="6"/>
      <c r="B29" s="6"/>
      <c r="C29" s="6"/>
      <c r="D29" s="6"/>
      <c r="E29" s="6"/>
      <c r="F29" s="6"/>
      <c r="G29" s="6"/>
      <c r="H29" s="6"/>
      <c r="I29" s="6"/>
      <c r="J29" s="6"/>
      <c r="K29" s="6"/>
      <c r="L29" s="6"/>
      <c r="M29" s="6"/>
      <c r="N29" s="6"/>
      <c r="O29" s="6"/>
      <c r="P29" s="6"/>
      <c r="Q29" s="6"/>
    </row>
    <row r="30" spans="1:17">
      <c r="A30" s="6"/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  <c r="N30" s="6"/>
      <c r="O30" s="6"/>
      <c r="P30" s="6"/>
      <c r="Q30" s="6"/>
    </row>
    <row r="31" spans="1:17">
      <c r="A31" s="6"/>
      <c r="B31" s="6"/>
      <c r="C31" s="6"/>
      <c r="D31" s="6"/>
      <c r="E31" s="6"/>
      <c r="F31" s="6"/>
      <c r="G31" s="6"/>
      <c r="H31" s="6"/>
      <c r="I31" s="6"/>
      <c r="J31" s="6"/>
      <c r="K31" s="6"/>
      <c r="L31" s="6"/>
      <c r="M31" s="6"/>
      <c r="N31" s="6"/>
      <c r="O31" s="6"/>
      <c r="P31" s="6"/>
      <c r="Q31" s="6"/>
    </row>
    <row r="32" spans="1:17">
      <c r="A32" s="6"/>
      <c r="B32" s="6"/>
      <c r="C32" s="6"/>
      <c r="D32" s="6"/>
      <c r="E32" s="6"/>
      <c r="F32" s="6"/>
      <c r="G32" s="6"/>
      <c r="H32" s="6"/>
      <c r="I32" s="6"/>
      <c r="J32" s="6"/>
      <c r="K32" s="6"/>
      <c r="L32" s="6"/>
      <c r="M32" s="6"/>
      <c r="N32" s="6"/>
      <c r="O32" s="6"/>
      <c r="P32" s="6"/>
      <c r="Q32" s="6"/>
    </row>
    <row r="33" spans="1:17">
      <c r="A33" s="6"/>
      <c r="B33" s="6"/>
      <c r="C33" s="6"/>
      <c r="D33" s="6"/>
      <c r="E33" s="6"/>
      <c r="F33" s="6"/>
      <c r="G33" s="6"/>
      <c r="H33" s="6"/>
      <c r="I33" s="6"/>
      <c r="J33" s="6"/>
      <c r="K33" s="6"/>
      <c r="L33" s="6"/>
      <c r="M33" s="6"/>
      <c r="N33" s="6"/>
      <c r="O33" s="6"/>
      <c r="P33" s="6"/>
      <c r="Q33" s="6"/>
    </row>
    <row r="34" spans="1:17">
      <c r="A34" s="6"/>
      <c r="B34" s="6"/>
      <c r="C34" s="6"/>
      <c r="D34" s="6"/>
      <c r="E34" s="6"/>
      <c r="F34" s="6"/>
      <c r="G34" s="6"/>
      <c r="H34" s="6"/>
      <c r="I34" s="6"/>
      <c r="J34" s="6"/>
      <c r="K34" s="6"/>
      <c r="L34" s="6"/>
      <c r="M34" s="6"/>
      <c r="N34" s="6"/>
      <c r="O34" s="6"/>
      <c r="P34" s="6"/>
      <c r="Q34" s="6"/>
    </row>
    <row r="35" spans="1:17">
      <c r="A35" s="6"/>
      <c r="B35" s="6"/>
      <c r="C35" s="6"/>
      <c r="D35" s="6"/>
      <c r="E35" s="6"/>
      <c r="F35" s="6"/>
      <c r="G35" s="6"/>
      <c r="H35" s="6"/>
      <c r="I35" s="6"/>
      <c r="J35" s="6"/>
      <c r="K35" s="6"/>
      <c r="L35" s="6"/>
      <c r="M35" s="6"/>
      <c r="N35" s="6"/>
      <c r="O35" s="6"/>
      <c r="P35" s="6"/>
      <c r="Q35" s="6"/>
    </row>
    <row r="36" spans="1:17">
      <c r="A36" s="6"/>
      <c r="B36" s="6"/>
      <c r="C36" s="6"/>
      <c r="D36" s="6"/>
      <c r="E36" s="6"/>
      <c r="F36" s="6"/>
      <c r="G36" s="6"/>
      <c r="H36" s="6"/>
      <c r="I36" s="6"/>
      <c r="J36" s="6"/>
      <c r="K36" s="6"/>
      <c r="L36" s="6"/>
      <c r="M36" s="6"/>
      <c r="N36" s="6"/>
      <c r="O36" s="6"/>
      <c r="P36" s="6"/>
      <c r="Q36" s="6"/>
    </row>
    <row r="37" spans="1:17">
      <c r="A37" s="6"/>
      <c r="B37" s="6"/>
      <c r="C37" s="6"/>
      <c r="D37" s="6"/>
      <c r="E37" s="6"/>
      <c r="F37" s="6"/>
      <c r="G37" s="6"/>
      <c r="H37" s="6"/>
      <c r="I37" s="6"/>
      <c r="J37" s="6"/>
      <c r="K37" s="6"/>
      <c r="L37" s="6"/>
      <c r="M37" s="6"/>
      <c r="N37" s="6"/>
      <c r="O37" s="6"/>
      <c r="P37" s="6"/>
      <c r="Q37" s="6"/>
    </row>
    <row r="38" spans="1:17">
      <c r="A38" s="6"/>
      <c r="B38" s="6"/>
      <c r="C38" s="6"/>
      <c r="D38" s="6"/>
      <c r="E38" s="6"/>
      <c r="F38" s="6"/>
      <c r="G38" s="6"/>
      <c r="H38" s="6"/>
      <c r="I38" s="6"/>
      <c r="J38" s="6"/>
      <c r="K38" s="6"/>
      <c r="L38" s="6"/>
      <c r="M38" s="6"/>
      <c r="N38" s="6"/>
      <c r="O38" s="6"/>
      <c r="P38" s="6"/>
      <c r="Q38" s="6"/>
    </row>
    <row r="39" spans="1:17">
      <c r="A39" s="6"/>
      <c r="B39" s="6"/>
      <c r="C39" s="6"/>
      <c r="D39" s="6"/>
      <c r="E39" s="6"/>
      <c r="F39" s="6"/>
      <c r="G39" s="6"/>
      <c r="H39" s="6"/>
      <c r="I39" s="6"/>
      <c r="J39" s="6"/>
      <c r="K39" s="6"/>
      <c r="L39" s="6"/>
      <c r="M39" s="6"/>
      <c r="N39" s="6"/>
      <c r="O39" s="6"/>
      <c r="P39" s="6"/>
      <c r="Q39" s="6"/>
    </row>
    <row r="40" spans="1:17">
      <c r="A40" s="6"/>
      <c r="B40" s="6"/>
      <c r="C40" s="6"/>
      <c r="D40" s="6"/>
      <c r="E40" s="6"/>
      <c r="F40" s="6"/>
      <c r="G40" s="6"/>
      <c r="H40" s="6"/>
      <c r="I40" s="6"/>
      <c r="J40" s="6"/>
      <c r="K40" s="6"/>
      <c r="L40" s="6"/>
      <c r="M40" s="6"/>
      <c r="N40" s="6"/>
      <c r="O40" s="6"/>
      <c r="P40" s="6"/>
      <c r="Q40" s="6"/>
    </row>
    <row r="41" spans="1:17">
      <c r="A41" s="6"/>
      <c r="B41" s="6"/>
      <c r="C41" s="6"/>
      <c r="D41" s="6"/>
      <c r="E41" s="6"/>
      <c r="F41" s="6"/>
      <c r="G41" s="6"/>
      <c r="H41" s="6"/>
      <c r="I41" s="6"/>
      <c r="J41" s="6"/>
      <c r="K41" s="6"/>
      <c r="L41" s="6"/>
      <c r="M41" s="6"/>
      <c r="N41" s="6"/>
      <c r="O41" s="6"/>
      <c r="P41" s="6"/>
      <c r="Q41" s="6"/>
    </row>
    <row r="42" spans="1:17">
      <c r="A42" s="6"/>
      <c r="B42" s="6"/>
      <c r="C42" s="6"/>
      <c r="D42" s="6"/>
      <c r="E42" s="6"/>
      <c r="F42" s="6"/>
      <c r="G42" s="6"/>
      <c r="H42" s="6"/>
      <c r="I42" s="6"/>
      <c r="J42" s="6"/>
      <c r="K42" s="6"/>
      <c r="L42" s="6"/>
      <c r="M42" s="6"/>
      <c r="N42" s="6"/>
      <c r="O42" s="6"/>
      <c r="P42" s="6"/>
      <c r="Q42" s="6"/>
    </row>
    <row r="43" spans="1:17">
      <c r="A43" s="6"/>
      <c r="B43" s="6"/>
      <c r="C43" s="6"/>
      <c r="D43" s="6"/>
      <c r="E43" s="6"/>
      <c r="F43" s="6"/>
      <c r="G43" s="6"/>
      <c r="H43" s="6"/>
      <c r="I43" s="6"/>
      <c r="J43" s="6"/>
      <c r="K43" s="6"/>
      <c r="L43" s="6"/>
      <c r="M43" s="6"/>
      <c r="N43" s="6"/>
      <c r="O43" s="6"/>
      <c r="P43" s="6"/>
      <c r="Q43" s="6"/>
    </row>
    <row r="44" spans="1:17">
      <c r="A44" s="6"/>
      <c r="B44" s="6"/>
      <c r="C44" s="6"/>
      <c r="D44" s="6"/>
      <c r="E44" s="6"/>
      <c r="F44" s="6"/>
      <c r="G44" s="6"/>
      <c r="H44" s="6"/>
      <c r="I44" s="6"/>
      <c r="J44" s="6"/>
      <c r="K44" s="6"/>
      <c r="L44" s="6"/>
      <c r="M44" s="6"/>
      <c r="N44" s="6"/>
      <c r="O44" s="6"/>
      <c r="P44" s="6"/>
      <c r="Q44" s="6"/>
    </row>
    <row r="45" spans="1:17">
      <c r="A45" s="6"/>
      <c r="B45" s="6"/>
      <c r="C45" s="6"/>
      <c r="D45" s="6"/>
      <c r="E45" s="6"/>
      <c r="F45" s="6"/>
      <c r="G45" s="6"/>
      <c r="H45" s="6"/>
      <c r="I45" s="6"/>
      <c r="J45" s="6"/>
      <c r="K45" s="6"/>
      <c r="L45" s="6"/>
      <c r="M45" s="6"/>
      <c r="N45" s="6"/>
      <c r="O45" s="6"/>
      <c r="P45" s="6"/>
      <c r="Q45" s="6"/>
    </row>
    <row r="46" spans="1:17">
      <c r="A46" s="6"/>
      <c r="B46" s="6"/>
      <c r="C46" s="6"/>
      <c r="D46" s="6"/>
      <c r="E46" s="6"/>
      <c r="F46" s="6"/>
      <c r="G46" s="6"/>
      <c r="H46" s="6"/>
      <c r="I46" s="6"/>
      <c r="J46" s="6"/>
      <c r="K46" s="6"/>
      <c r="L46" s="6"/>
      <c r="M46" s="6"/>
      <c r="N46" s="6"/>
      <c r="O46" s="6"/>
      <c r="P46" s="6"/>
      <c r="Q46" s="6"/>
    </row>
    <row r="47" spans="1:17">
      <c r="A47" s="6"/>
      <c r="B47" s="6"/>
      <c r="C47" s="6"/>
      <c r="D47" s="6"/>
      <c r="E47" s="6"/>
      <c r="F47" s="6"/>
      <c r="G47" s="6"/>
      <c r="H47" s="6"/>
      <c r="I47" s="6"/>
      <c r="J47" s="6"/>
      <c r="K47" s="6"/>
      <c r="L47" s="6"/>
      <c r="M47" s="6"/>
      <c r="N47" s="6"/>
      <c r="O47" s="6"/>
      <c r="P47" s="6"/>
      <c r="Q47" s="6"/>
    </row>
    <row r="48" spans="1:17">
      <c r="A48" s="6"/>
      <c r="B48" s="6"/>
      <c r="C48" s="6"/>
      <c r="D48" s="6"/>
      <c r="E48" s="6"/>
      <c r="F48" s="6"/>
      <c r="G48" s="6"/>
      <c r="H48" s="6"/>
      <c r="I48" s="6"/>
      <c r="J48" s="6"/>
      <c r="K48" s="6"/>
      <c r="L48" s="6"/>
      <c r="M48" s="6"/>
      <c r="N48" s="6"/>
      <c r="O48" s="6"/>
      <c r="P48" s="6"/>
      <c r="Q48" s="6"/>
    </row>
    <row r="49" spans="1:17">
      <c r="A49" s="6"/>
      <c r="B49" s="6"/>
      <c r="C49" s="6"/>
      <c r="D49" s="6"/>
      <c r="E49" s="6"/>
      <c r="F49" s="6"/>
      <c r="G49" s="6"/>
      <c r="H49" s="6"/>
      <c r="I49" s="6"/>
      <c r="J49" s="6"/>
      <c r="K49" s="6"/>
      <c r="L49" s="6"/>
      <c r="M49" s="6"/>
      <c r="N49" s="6"/>
      <c r="O49" s="6"/>
      <c r="P49" s="6"/>
      <c r="Q49" s="6"/>
    </row>
    <row r="50" spans="1:17">
      <c r="A50" s="6"/>
      <c r="B50" s="6"/>
      <c r="C50" s="6"/>
      <c r="D50" s="6"/>
      <c r="E50" s="6"/>
      <c r="F50" s="6"/>
      <c r="G50" s="6"/>
      <c r="H50" s="6"/>
      <c r="I50" s="6"/>
      <c r="J50" s="6"/>
      <c r="K50" s="6"/>
      <c r="L50" s="6"/>
      <c r="M50" s="6"/>
      <c r="N50" s="6"/>
      <c r="O50" s="6"/>
      <c r="P50" s="6"/>
      <c r="Q50" s="6"/>
    </row>
    <row r="51" spans="1:17">
      <c r="A51" s="6"/>
      <c r="B51" s="6"/>
      <c r="C51" s="6"/>
      <c r="D51" s="6"/>
      <c r="E51" s="6"/>
      <c r="F51" s="6"/>
      <c r="G51" s="6"/>
      <c r="H51" s="6"/>
      <c r="I51" s="6"/>
      <c r="J51" s="6"/>
      <c r="K51" s="6"/>
      <c r="L51" s="6"/>
      <c r="M51" s="6"/>
      <c r="N51" s="6"/>
      <c r="O51" s="6"/>
      <c r="P51" s="6"/>
      <c r="Q51" s="6"/>
    </row>
    <row r="52" spans="1:17">
      <c r="A52" s="6"/>
      <c r="B52" s="6"/>
      <c r="C52" s="6"/>
      <c r="D52" s="6"/>
      <c r="E52" s="6"/>
      <c r="F52" s="6"/>
      <c r="G52" s="6"/>
      <c r="H52" s="6"/>
      <c r="I52" s="6"/>
      <c r="J52" s="6"/>
      <c r="K52" s="6"/>
      <c r="L52" s="6"/>
      <c r="M52" s="6"/>
      <c r="N52" s="6"/>
      <c r="O52" s="6"/>
      <c r="P52" s="6"/>
      <c r="Q52" s="6"/>
    </row>
    <row r="53" spans="1:17">
      <c r="A53" s="6"/>
      <c r="B53" s="6"/>
      <c r="C53" s="6"/>
      <c r="D53" s="6"/>
      <c r="E53" s="6"/>
      <c r="F53" s="6"/>
      <c r="G53" s="6"/>
      <c r="H53" s="6"/>
      <c r="I53" s="6"/>
      <c r="J53" s="6"/>
      <c r="K53" s="6"/>
      <c r="L53" s="6"/>
      <c r="M53" s="6"/>
      <c r="N53" s="6"/>
      <c r="O53" s="6"/>
      <c r="P53" s="6"/>
      <c r="Q53" s="6"/>
    </row>
    <row r="54" spans="1:17">
      <c r="A54" s="6"/>
      <c r="B54" s="6"/>
      <c r="C54" s="6"/>
      <c r="D54" s="6"/>
      <c r="E54" s="6"/>
      <c r="F54" s="6"/>
      <c r="G54" s="6"/>
      <c r="H54" s="6"/>
      <c r="I54" s="6"/>
      <c r="J54" s="6"/>
      <c r="K54" s="6"/>
      <c r="L54" s="6"/>
      <c r="M54" s="6"/>
      <c r="N54" s="6"/>
      <c r="O54" s="6"/>
      <c r="P54" s="6"/>
      <c r="Q54" s="6"/>
    </row>
    <row r="55" spans="1:17">
      <c r="A55" s="6"/>
      <c r="B55" s="6"/>
      <c r="C55" s="6"/>
      <c r="D55" s="6"/>
      <c r="E55" s="6"/>
      <c r="F55" s="6"/>
      <c r="G55" s="6"/>
      <c r="H55" s="6"/>
      <c r="I55" s="6"/>
      <c r="J55" s="6"/>
      <c r="K55" s="6"/>
      <c r="L55" s="6"/>
      <c r="M55" s="6"/>
      <c r="N55" s="6"/>
      <c r="O55" s="6"/>
      <c r="P55" s="6"/>
      <c r="Q55" s="6"/>
    </row>
    <row r="56" spans="1:17">
      <c r="A56" s="6"/>
      <c r="B56" s="6"/>
      <c r="C56" s="6"/>
      <c r="D56" s="6"/>
      <c r="E56" s="6"/>
      <c r="F56" s="6"/>
      <c r="G56" s="6"/>
      <c r="H56" s="6"/>
      <c r="I56" s="6"/>
      <c r="J56" s="6"/>
      <c r="K56" s="6"/>
      <c r="L56" s="6"/>
      <c r="M56" s="6"/>
      <c r="N56" s="6"/>
      <c r="O56" s="6"/>
      <c r="P56" s="6"/>
      <c r="Q56" s="6"/>
    </row>
    <row r="57" spans="1:17">
      <c r="A57" s="6"/>
      <c r="B57" s="6"/>
      <c r="C57" s="6"/>
      <c r="D57" s="6"/>
      <c r="E57" s="6"/>
      <c r="F57" s="6"/>
      <c r="G57" s="6"/>
      <c r="H57" s="6"/>
      <c r="I57" s="6"/>
      <c r="J57" s="6"/>
      <c r="K57" s="6"/>
      <c r="L57" s="6"/>
      <c r="M57" s="6"/>
      <c r="N57" s="6"/>
      <c r="O57" s="6"/>
      <c r="P57" s="6"/>
      <c r="Q57" s="6"/>
    </row>
    <row r="58" spans="1:17">
      <c r="A58" s="6"/>
      <c r="B58" s="6"/>
      <c r="C58" s="6"/>
      <c r="D58" s="6"/>
      <c r="E58" s="6"/>
      <c r="F58" s="6"/>
      <c r="G58" s="6"/>
      <c r="H58" s="6"/>
      <c r="I58" s="6"/>
      <c r="J58" s="6"/>
      <c r="K58" s="6"/>
      <c r="L58" s="6"/>
      <c r="M58" s="6"/>
      <c r="N58" s="6"/>
      <c r="O58" s="6"/>
      <c r="P58" s="6"/>
      <c r="Q58" s="6"/>
    </row>
    <row r="59" spans="1:17">
      <c r="A59" s="6"/>
      <c r="B59" s="6"/>
      <c r="C59" s="6"/>
      <c r="D59" s="6"/>
      <c r="E59" s="6"/>
      <c r="F59" s="6"/>
      <c r="G59" s="6"/>
      <c r="H59" s="6"/>
      <c r="I59" s="6"/>
      <c r="J59" s="6"/>
      <c r="K59" s="6"/>
      <c r="L59" s="6"/>
      <c r="M59" s="6"/>
      <c r="N59" s="6"/>
      <c r="O59" s="6"/>
      <c r="P59" s="6"/>
      <c r="Q59" s="6"/>
    </row>
    <row r="60" spans="1:17">
      <c r="A60" s="6"/>
      <c r="B60" s="6"/>
      <c r="C60" s="6"/>
      <c r="D60" s="6"/>
      <c r="E60" s="6"/>
      <c r="F60" s="6"/>
      <c r="G60" s="6"/>
      <c r="H60" s="6"/>
      <c r="I60" s="6"/>
      <c r="J60" s="6"/>
      <c r="K60" s="6"/>
      <c r="L60" s="6"/>
      <c r="M60" s="6"/>
      <c r="N60" s="6"/>
      <c r="O60" s="6"/>
      <c r="P60" s="6"/>
      <c r="Q60" s="6"/>
    </row>
    <row r="61" spans="1:17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</row>
    <row r="62" spans="1:17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</row>
    <row r="63" spans="1:17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</row>
    <row r="64" spans="1:17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</row>
    <row r="65" spans="1:17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</row>
    <row r="66" spans="1:17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</row>
    <row r="67" spans="1:17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</row>
    <row r="68" spans="1:17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</row>
    <row r="69" spans="1:17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</row>
    <row r="70" spans="1:17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</row>
    <row r="71" spans="1:17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</row>
    <row r="72" spans="1:17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</row>
    <row r="73" spans="1:17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</row>
    <row r="74" spans="1:17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</row>
    <row r="75" spans="1:17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</row>
    <row r="76" spans="1:17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</row>
    <row r="77" spans="1:17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</row>
    <row r="78" spans="1:17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</row>
    <row r="79" spans="1:17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</row>
    <row r="80" spans="1:17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Q60"/>
  <sheetViews>
    <sheetView workbookViewId="0">
      <selection activeCell="C4" sqref="C4"/>
    </sheetView>
  </sheetViews>
  <sheetFormatPr defaultRowHeight="14.25"/>
  <cols>
    <col min="1" max="1" width="25" customWidth="1"/>
    <col min="2" max="2" width="30" bestFit="1" customWidth="1"/>
    <col min="3" max="3" width="25" style="38" customWidth="1"/>
    <col min="4" max="4" width="43.125" bestFit="1" customWidth="1"/>
  </cols>
  <sheetData>
    <row r="1" spans="1:17" ht="53.25" customHeight="1">
      <c r="A1" s="10" t="s">
        <v>164</v>
      </c>
      <c r="B1" s="2"/>
      <c r="C1" s="36"/>
      <c r="D1" s="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/>
      <c r="B2" s="2"/>
      <c r="C2" s="36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>
      <c r="A3" s="4" t="s">
        <v>165</v>
      </c>
      <c r="B3" s="4" t="s">
        <v>30</v>
      </c>
      <c r="C3" s="37" t="s">
        <v>33</v>
      </c>
      <c r="D3" s="4" t="s">
        <v>124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 ht="15">
      <c r="A4" s="5" t="s">
        <v>4</v>
      </c>
      <c r="B4" s="2" t="s">
        <v>166</v>
      </c>
      <c r="C4" s="36" t="str">
        <f>'02_Build'!J4</f>
        <v>PASS</v>
      </c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 ht="15">
      <c r="A5" s="5" t="s">
        <v>4</v>
      </c>
      <c r="B5" s="2" t="s">
        <v>167</v>
      </c>
      <c r="C5" s="36" t="str">
        <f>'02_Build'!J5</f>
        <v>PASS</v>
      </c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 ht="15">
      <c r="A6" s="5" t="s">
        <v>4</v>
      </c>
      <c r="B6" s="2" t="s">
        <v>168</v>
      </c>
      <c r="C6" s="36" t="str">
        <f>'02_Build'!J6</f>
        <v>PASS</v>
      </c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 ht="15">
      <c r="A7" s="5" t="s">
        <v>4</v>
      </c>
      <c r="B7" s="2" t="s">
        <v>169</v>
      </c>
      <c r="C7" s="36" t="str">
        <f>'02_Build'!J7</f>
        <v>PASS</v>
      </c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 ht="15">
      <c r="A8" s="5" t="s">
        <v>6</v>
      </c>
      <c r="B8" s="2" t="s">
        <v>170</v>
      </c>
      <c r="C8" s="36" t="s">
        <v>171</v>
      </c>
      <c r="D8" s="2" t="s">
        <v>172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 ht="15">
      <c r="A9" s="5" t="s">
        <v>6</v>
      </c>
      <c r="B9" s="2" t="s">
        <v>173</v>
      </c>
      <c r="C9" s="36" t="s">
        <v>174</v>
      </c>
      <c r="D9" s="2" t="s">
        <v>175</v>
      </c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 ht="15">
      <c r="A10" s="5" t="s">
        <v>11</v>
      </c>
      <c r="B10" s="2" t="s">
        <v>176</v>
      </c>
      <c r="C10" s="36" t="s">
        <v>174</v>
      </c>
      <c r="D10" s="2" t="s">
        <v>177</v>
      </c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 ht="15">
      <c r="A11" s="5" t="s">
        <v>15</v>
      </c>
      <c r="B11" s="2" t="s">
        <v>178</v>
      </c>
      <c r="C11" s="36" t="s">
        <v>174</v>
      </c>
      <c r="D11" s="2" t="s">
        <v>179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 ht="15">
      <c r="A12" s="5" t="s">
        <v>180</v>
      </c>
      <c r="B12" s="2" t="s">
        <v>181</v>
      </c>
      <c r="C12" s="36" t="s">
        <v>174</v>
      </c>
      <c r="D12" s="2" t="s">
        <v>182</v>
      </c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36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36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36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36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36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36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36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36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36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36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36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36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36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36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36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36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36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36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36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36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36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36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36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36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36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36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36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36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36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36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36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36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36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36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36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36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36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36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36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36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36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36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36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36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36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36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36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36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Q60"/>
  <sheetViews>
    <sheetView workbookViewId="0"/>
  </sheetViews>
  <sheetFormatPr defaultRowHeight="14.25"/>
  <cols>
    <col min="1" max="15" width="16" customWidth="1"/>
    <col min="16" max="16" width="42" customWidth="1"/>
  </cols>
  <sheetData>
    <row r="1" spans="1:17" ht="15">
      <c r="A1" s="3" t="s">
        <v>183</v>
      </c>
      <c r="B1" s="3" t="s">
        <v>184</v>
      </c>
      <c r="C1" s="3" t="s">
        <v>185</v>
      </c>
      <c r="D1" s="3" t="s">
        <v>186</v>
      </c>
      <c r="E1" s="3" t="s">
        <v>187</v>
      </c>
      <c r="F1" s="3" t="s">
        <v>188</v>
      </c>
      <c r="G1" s="3" t="s">
        <v>189</v>
      </c>
      <c r="H1" s="3" t="s">
        <v>53</v>
      </c>
      <c r="I1" s="3" t="s">
        <v>190</v>
      </c>
      <c r="J1" s="3" t="s">
        <v>191</v>
      </c>
      <c r="K1" s="3" t="s">
        <v>192</v>
      </c>
      <c r="L1" s="3" t="s">
        <v>193</v>
      </c>
      <c r="M1" s="3" t="s">
        <v>194</v>
      </c>
      <c r="N1" s="3" t="s">
        <v>195</v>
      </c>
      <c r="O1" s="3" t="s">
        <v>196</v>
      </c>
      <c r="P1" s="3" t="s">
        <v>197</v>
      </c>
      <c r="Q1" s="2"/>
    </row>
    <row r="2" spans="1:17">
      <c r="A2" s="2" t="s">
        <v>198</v>
      </c>
      <c r="B2" s="2" t="s">
        <v>36</v>
      </c>
      <c r="C2" s="2">
        <v>460</v>
      </c>
      <c r="D2" s="2">
        <v>65.7</v>
      </c>
      <c r="E2" s="2">
        <v>54.9</v>
      </c>
      <c r="F2" s="2">
        <v>8.8800000000000008</v>
      </c>
      <c r="G2" s="2">
        <v>8.3800000000000008</v>
      </c>
      <c r="H2" s="2">
        <v>-0.24</v>
      </c>
      <c r="I2" s="2">
        <v>-0.24</v>
      </c>
      <c r="J2" s="2">
        <v>1728</v>
      </c>
      <c r="K2" s="2">
        <v>1205</v>
      </c>
      <c r="L2" s="2">
        <v>47.4</v>
      </c>
      <c r="M2" s="2">
        <v>25</v>
      </c>
      <c r="N2" s="2">
        <v>1000</v>
      </c>
      <c r="O2" s="2">
        <v>315</v>
      </c>
      <c r="P2" s="2" t="s">
        <v>199</v>
      </c>
      <c r="Q2" s="2"/>
    </row>
    <row r="3" spans="1:17">
      <c r="A3" s="2" t="s">
        <v>200</v>
      </c>
      <c r="B3" s="2" t="s">
        <v>201</v>
      </c>
      <c r="C3" s="2">
        <v>430</v>
      </c>
      <c r="D3" s="2">
        <v>45.54</v>
      </c>
      <c r="E3" s="2">
        <v>38.39</v>
      </c>
      <c r="F3" s="2">
        <v>11.35</v>
      </c>
      <c r="G3" s="2">
        <v>11.2</v>
      </c>
      <c r="H3" s="2">
        <v>-0.24</v>
      </c>
      <c r="I3" s="2">
        <v>-0.28999999999999998</v>
      </c>
      <c r="J3" s="2">
        <v>1722</v>
      </c>
      <c r="K3" s="2">
        <v>1134</v>
      </c>
      <c r="L3" s="2">
        <v>48.5</v>
      </c>
      <c r="M3" s="2">
        <v>25</v>
      </c>
      <c r="N3" s="2">
        <v>1000</v>
      </c>
      <c r="O3" s="2">
        <v>240</v>
      </c>
      <c r="P3" s="2" t="s">
        <v>202</v>
      </c>
      <c r="Q3" s="2"/>
    </row>
    <row r="4" spans="1:17">
      <c r="A4" s="2" t="s">
        <v>203</v>
      </c>
      <c r="B4" s="2" t="s">
        <v>204</v>
      </c>
      <c r="C4" s="2">
        <v>455</v>
      </c>
      <c r="D4" s="2">
        <v>49.3</v>
      </c>
      <c r="E4" s="2">
        <v>41.5</v>
      </c>
      <c r="F4" s="2">
        <v>11.74</v>
      </c>
      <c r="G4" s="2">
        <v>10.97</v>
      </c>
      <c r="H4" s="2">
        <v>-0.26</v>
      </c>
      <c r="I4" s="2">
        <v>-0.34</v>
      </c>
      <c r="J4" s="2">
        <v>1903</v>
      </c>
      <c r="K4" s="2">
        <v>1134</v>
      </c>
      <c r="L4" s="2">
        <v>54</v>
      </c>
      <c r="M4" s="2">
        <v>25</v>
      </c>
      <c r="N4" s="2">
        <v>1500</v>
      </c>
      <c r="O4" s="2">
        <v>220</v>
      </c>
      <c r="P4" s="2" t="s">
        <v>202</v>
      </c>
      <c r="Q4" s="2"/>
    </row>
    <row r="5" spans="1:17">
      <c r="A5" s="2" t="s">
        <v>205</v>
      </c>
      <c r="B5" s="2" t="s">
        <v>206</v>
      </c>
      <c r="C5" s="2">
        <v>460</v>
      </c>
      <c r="D5" s="2">
        <v>46.7</v>
      </c>
      <c r="E5" s="2">
        <v>38.5</v>
      </c>
      <c r="F5" s="2">
        <v>12.7</v>
      </c>
      <c r="G5" s="2">
        <v>11.95</v>
      </c>
      <c r="H5" s="2">
        <v>-0.27</v>
      </c>
      <c r="I5" s="2">
        <v>-0.35</v>
      </c>
      <c r="J5" s="2">
        <v>1909</v>
      </c>
      <c r="K5" s="2">
        <v>1134</v>
      </c>
      <c r="L5" s="2">
        <v>54</v>
      </c>
      <c r="M5" s="2">
        <v>25</v>
      </c>
      <c r="N5" s="2">
        <v>1000</v>
      </c>
      <c r="O5" s="2">
        <v>280</v>
      </c>
      <c r="P5" s="2" t="s">
        <v>207</v>
      </c>
      <c r="Q5" s="2"/>
    </row>
    <row r="6" spans="1:17">
      <c r="A6" s="2" t="s">
        <v>208</v>
      </c>
      <c r="B6" s="2" t="s">
        <v>209</v>
      </c>
      <c r="C6" s="2">
        <v>455</v>
      </c>
      <c r="D6" s="2">
        <v>51.6</v>
      </c>
      <c r="E6" s="2">
        <v>43.2</v>
      </c>
      <c r="F6" s="2">
        <v>11.2</v>
      </c>
      <c r="G6" s="2">
        <v>10.54</v>
      </c>
      <c r="H6" s="2">
        <v>-0.24</v>
      </c>
      <c r="I6" s="2">
        <v>-0.3</v>
      </c>
      <c r="J6" s="2">
        <v>1762</v>
      </c>
      <c r="K6" s="2">
        <v>1134</v>
      </c>
      <c r="L6" s="2">
        <v>47</v>
      </c>
      <c r="M6" s="2">
        <v>25</v>
      </c>
      <c r="N6" s="2">
        <v>1500</v>
      </c>
      <c r="O6" s="2">
        <v>210</v>
      </c>
      <c r="P6" s="2" t="s">
        <v>207</v>
      </c>
      <c r="Q6" s="2"/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Q60"/>
  <sheetViews>
    <sheetView workbookViewId="0"/>
  </sheetViews>
  <sheetFormatPr defaultRowHeight="14.25"/>
  <cols>
    <col min="1" max="12" width="17" customWidth="1"/>
    <col min="13" max="13" width="42" customWidth="1"/>
  </cols>
  <sheetData>
    <row r="1" spans="1:17" ht="15">
      <c r="A1" s="3" t="s">
        <v>183</v>
      </c>
      <c r="B1" s="3" t="s">
        <v>184</v>
      </c>
      <c r="C1" s="3" t="s">
        <v>210</v>
      </c>
      <c r="D1" s="3" t="s">
        <v>211</v>
      </c>
      <c r="E1" s="3" t="s">
        <v>212</v>
      </c>
      <c r="F1" s="3" t="s">
        <v>213</v>
      </c>
      <c r="G1" s="3" t="s">
        <v>214</v>
      </c>
      <c r="H1" s="3" t="s">
        <v>52</v>
      </c>
      <c r="I1" s="3" t="s">
        <v>78</v>
      </c>
      <c r="J1" s="3" t="s">
        <v>215</v>
      </c>
      <c r="K1" s="3" t="s">
        <v>216</v>
      </c>
      <c r="L1" s="3" t="s">
        <v>217</v>
      </c>
      <c r="M1" s="3" t="s">
        <v>124</v>
      </c>
      <c r="N1" s="2"/>
      <c r="O1" s="2"/>
      <c r="P1" s="2"/>
      <c r="Q1" s="2"/>
    </row>
    <row r="2" spans="1:17">
      <c r="A2" s="2" t="s">
        <v>218</v>
      </c>
      <c r="B2" s="2" t="s">
        <v>39</v>
      </c>
      <c r="C2" s="2">
        <v>150</v>
      </c>
      <c r="D2" s="2">
        <v>425</v>
      </c>
      <c r="E2" s="2">
        <v>500</v>
      </c>
      <c r="F2" s="2">
        <v>36</v>
      </c>
      <c r="G2" s="2">
        <v>54</v>
      </c>
      <c r="H2" s="2">
        <v>3</v>
      </c>
      <c r="I2" s="2">
        <v>2</v>
      </c>
      <c r="J2" s="2">
        <v>30</v>
      </c>
      <c r="K2" s="2">
        <v>18</v>
      </c>
      <c r="L2" s="2">
        <v>7900</v>
      </c>
      <c r="M2" s="2" t="s">
        <v>219</v>
      </c>
      <c r="N2" s="2"/>
      <c r="O2" s="2"/>
      <c r="P2" s="2"/>
      <c r="Q2" s="2"/>
    </row>
    <row r="3" spans="1:17">
      <c r="A3" s="2" t="s">
        <v>218</v>
      </c>
      <c r="B3" s="2" t="s">
        <v>220</v>
      </c>
      <c r="C3" s="2">
        <v>175</v>
      </c>
      <c r="D3" s="2">
        <v>425</v>
      </c>
      <c r="E3" s="2">
        <v>500</v>
      </c>
      <c r="F3" s="2">
        <v>26</v>
      </c>
      <c r="G3" s="2">
        <v>44</v>
      </c>
      <c r="H3" s="2">
        <v>3</v>
      </c>
      <c r="I3" s="2">
        <v>2</v>
      </c>
      <c r="J3" s="2">
        <v>19.5</v>
      </c>
      <c r="K3" s="2">
        <v>15</v>
      </c>
      <c r="L3" s="2">
        <v>6900</v>
      </c>
      <c r="M3" s="2" t="s">
        <v>221</v>
      </c>
      <c r="N3" s="2"/>
      <c r="O3" s="2"/>
      <c r="P3" s="2"/>
      <c r="Q3" s="2"/>
    </row>
    <row r="4" spans="1:17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Q60"/>
  <sheetViews>
    <sheetView workbookViewId="0"/>
  </sheetViews>
  <sheetFormatPr defaultRowHeight="14.25"/>
  <cols>
    <col min="1" max="13" width="18" customWidth="1"/>
    <col min="14" max="14" width="46" customWidth="1"/>
  </cols>
  <sheetData>
    <row r="1" spans="1:17" ht="15">
      <c r="A1" s="3" t="s">
        <v>183</v>
      </c>
      <c r="B1" s="3" t="s">
        <v>184</v>
      </c>
      <c r="C1" s="3" t="s">
        <v>222</v>
      </c>
      <c r="D1" s="3" t="s">
        <v>223</v>
      </c>
      <c r="E1" s="3" t="s">
        <v>224</v>
      </c>
      <c r="F1" s="3" t="s">
        <v>225</v>
      </c>
      <c r="G1" s="3" t="s">
        <v>226</v>
      </c>
      <c r="H1" s="3" t="s">
        <v>227</v>
      </c>
      <c r="I1" s="3" t="s">
        <v>228</v>
      </c>
      <c r="J1" s="3" t="s">
        <v>193</v>
      </c>
      <c r="K1" s="3" t="s">
        <v>229</v>
      </c>
      <c r="L1" s="3" t="s">
        <v>230</v>
      </c>
      <c r="M1" s="3" t="s">
        <v>231</v>
      </c>
      <c r="N1" s="3" t="s">
        <v>124</v>
      </c>
      <c r="O1" s="2"/>
      <c r="P1" s="2"/>
      <c r="Q1" s="2"/>
    </row>
    <row r="2" spans="1:17">
      <c r="A2" s="2" t="s">
        <v>232</v>
      </c>
      <c r="B2" s="2" t="s">
        <v>42</v>
      </c>
      <c r="C2" s="2" t="s">
        <v>233</v>
      </c>
      <c r="D2" s="2">
        <v>16</v>
      </c>
      <c r="E2" s="2">
        <v>51.2</v>
      </c>
      <c r="F2" s="2">
        <v>314</v>
      </c>
      <c r="G2" s="2">
        <v>160</v>
      </c>
      <c r="H2" s="2">
        <v>160</v>
      </c>
      <c r="I2" s="2">
        <v>400</v>
      </c>
      <c r="J2" s="2">
        <v>330</v>
      </c>
      <c r="K2" s="2" t="s">
        <v>234</v>
      </c>
      <c r="L2" s="2" t="s">
        <v>235</v>
      </c>
      <c r="M2" s="2">
        <v>4900</v>
      </c>
      <c r="N2" s="2" t="s">
        <v>236</v>
      </c>
      <c r="O2" s="2"/>
      <c r="P2" s="2"/>
      <c r="Q2" s="2"/>
    </row>
    <row r="3" spans="1:17">
      <c r="A3" s="2" t="s">
        <v>237</v>
      </c>
      <c r="B3" s="2" t="s">
        <v>238</v>
      </c>
      <c r="C3" s="2" t="s">
        <v>233</v>
      </c>
      <c r="D3" s="2">
        <v>16</v>
      </c>
      <c r="E3" s="2">
        <v>51.2</v>
      </c>
      <c r="F3" s="2">
        <v>314</v>
      </c>
      <c r="G3" s="2">
        <v>160</v>
      </c>
      <c r="H3" s="2">
        <v>160</v>
      </c>
      <c r="I3" s="2">
        <v>200</v>
      </c>
      <c r="J3" s="2">
        <v>320</v>
      </c>
      <c r="K3" s="2" t="s">
        <v>234</v>
      </c>
      <c r="L3" s="2" t="s">
        <v>239</v>
      </c>
      <c r="M3" s="2">
        <v>3700</v>
      </c>
      <c r="N3" s="2" t="s">
        <v>240</v>
      </c>
      <c r="O3" s="2"/>
      <c r="P3" s="2"/>
      <c r="Q3" s="2"/>
    </row>
    <row r="4" spans="1:17">
      <c r="A4" s="2" t="s">
        <v>241</v>
      </c>
      <c r="B4" s="2" t="s">
        <v>242</v>
      </c>
      <c r="C4" s="2" t="s">
        <v>233</v>
      </c>
      <c r="D4" s="2">
        <v>19.2</v>
      </c>
      <c r="E4" s="2">
        <v>51.2</v>
      </c>
      <c r="F4" s="2">
        <v>375</v>
      </c>
      <c r="G4" s="2">
        <v>200</v>
      </c>
      <c r="H4" s="2">
        <v>200</v>
      </c>
      <c r="I4" s="2">
        <v>300</v>
      </c>
      <c r="J4" s="2">
        <v>500</v>
      </c>
      <c r="K4" s="2" t="s">
        <v>234</v>
      </c>
      <c r="L4" s="2" t="s">
        <v>239</v>
      </c>
      <c r="M4" s="2">
        <v>7200</v>
      </c>
      <c r="N4" s="2" t="s">
        <v>243</v>
      </c>
      <c r="O4" s="2"/>
      <c r="P4" s="2"/>
      <c r="Q4" s="2"/>
    </row>
    <row r="5" spans="1:17">
      <c r="A5" s="2" t="s">
        <v>244</v>
      </c>
      <c r="B5" s="2" t="s">
        <v>245</v>
      </c>
      <c r="C5" s="2" t="s">
        <v>233</v>
      </c>
      <c r="D5" s="2">
        <v>16</v>
      </c>
      <c r="E5" s="2">
        <v>51.2</v>
      </c>
      <c r="F5" s="2">
        <v>314</v>
      </c>
      <c r="G5" s="2">
        <v>160</v>
      </c>
      <c r="H5" s="2">
        <v>160</v>
      </c>
      <c r="I5" s="2">
        <v>200</v>
      </c>
      <c r="J5" s="2">
        <v>320</v>
      </c>
      <c r="K5" s="2" t="s">
        <v>246</v>
      </c>
      <c r="L5" s="2" t="s">
        <v>239</v>
      </c>
      <c r="M5" s="2">
        <v>5200</v>
      </c>
      <c r="N5" s="2" t="s">
        <v>247</v>
      </c>
      <c r="O5" s="2"/>
      <c r="P5" s="2"/>
      <c r="Q5" s="2"/>
    </row>
    <row r="6" spans="1:17">
      <c r="A6" s="2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/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Q60"/>
  <sheetViews>
    <sheetView workbookViewId="0">
      <selection activeCell="A9" sqref="A9"/>
    </sheetView>
  </sheetViews>
  <sheetFormatPr defaultRowHeight="14.25"/>
  <cols>
    <col min="1" max="1" width="10.5" bestFit="1" customWidth="1"/>
    <col min="2" max="2" width="10.875" bestFit="1" customWidth="1"/>
    <col min="3" max="3" width="11.375" bestFit="1" customWidth="1"/>
    <col min="4" max="4" width="16" bestFit="1" customWidth="1"/>
    <col min="5" max="5" width="6.875" bestFit="1" customWidth="1"/>
  </cols>
  <sheetData>
    <row r="1" spans="1:17" ht="15">
      <c r="A1" s="3" t="s">
        <v>248</v>
      </c>
      <c r="B1" s="3" t="s">
        <v>49</v>
      </c>
      <c r="C1" s="3" t="s">
        <v>54</v>
      </c>
      <c r="D1" s="3" t="s">
        <v>81</v>
      </c>
      <c r="E1" s="3" t="s">
        <v>96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 t="s">
        <v>88</v>
      </c>
      <c r="B2" s="2" t="s">
        <v>50</v>
      </c>
      <c r="C2" s="2" t="s">
        <v>55</v>
      </c>
      <c r="D2" s="2" t="s">
        <v>249</v>
      </c>
      <c r="E2" s="2" t="s">
        <v>99</v>
      </c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>
      <c r="A3" s="2" t="s">
        <v>89</v>
      </c>
      <c r="B3" s="2" t="s">
        <v>128</v>
      </c>
      <c r="C3" s="2" t="s">
        <v>250</v>
      </c>
      <c r="D3" s="2" t="s">
        <v>82</v>
      </c>
      <c r="E3" s="2" t="s">
        <v>102</v>
      </c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 t="s">
        <v>90</v>
      </c>
      <c r="B4" s="2"/>
      <c r="C4" s="2" t="s">
        <v>251</v>
      </c>
      <c r="D4" s="2"/>
      <c r="E4" s="2" t="s">
        <v>105</v>
      </c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91</v>
      </c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92</v>
      </c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93</v>
      </c>
      <c r="B7" s="2"/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252</v>
      </c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Q60"/>
  <sheetViews>
    <sheetView workbookViewId="0"/>
  </sheetViews>
  <sheetFormatPr defaultRowHeight="14.25"/>
  <cols>
    <col min="1" max="3" width="25" customWidth="1"/>
    <col min="4" max="4" width="60" customWidth="1"/>
  </cols>
  <sheetData>
    <row r="1" spans="1:17" ht="39">
      <c r="A1" s="10" t="s">
        <v>253</v>
      </c>
      <c r="B1" s="6"/>
      <c r="C1" s="6"/>
      <c r="D1" s="6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</row>
    <row r="2" spans="1:17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</row>
    <row r="3" spans="1:17" ht="15">
      <c r="A3" s="4" t="s">
        <v>254</v>
      </c>
      <c r="B3" s="4" t="s">
        <v>165</v>
      </c>
      <c r="C3" s="4" t="s">
        <v>255</v>
      </c>
      <c r="D3" s="4" t="s">
        <v>256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spans="1:17">
      <c r="A4" s="2" t="s">
        <v>257</v>
      </c>
      <c r="B4" s="2" t="s">
        <v>258</v>
      </c>
      <c r="C4" s="2" t="s">
        <v>259</v>
      </c>
      <c r="D4" s="2" t="s">
        <v>260</v>
      </c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</row>
    <row r="5" spans="1:17">
      <c r="A5" s="2" t="s">
        <v>257</v>
      </c>
      <c r="B5" s="2" t="s">
        <v>6</v>
      </c>
      <c r="C5" s="2" t="s">
        <v>261</v>
      </c>
      <c r="D5" s="2" t="s">
        <v>262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</row>
    <row r="6" spans="1:17">
      <c r="A6" s="2" t="s">
        <v>257</v>
      </c>
      <c r="B6" s="2" t="s">
        <v>263</v>
      </c>
      <c r="C6" s="2" t="s">
        <v>264</v>
      </c>
      <c r="D6" s="2" t="s">
        <v>265</v>
      </c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</row>
    <row r="7" spans="1:17">
      <c r="A7" s="2" t="s">
        <v>257</v>
      </c>
      <c r="B7" s="2" t="s">
        <v>266</v>
      </c>
      <c r="C7" s="2" t="s">
        <v>267</v>
      </c>
      <c r="D7" s="2" t="s">
        <v>268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</row>
    <row r="8" spans="1:17">
      <c r="A8" s="2" t="s">
        <v>257</v>
      </c>
      <c r="B8" s="2" t="s">
        <v>269</v>
      </c>
      <c r="C8" s="2" t="s">
        <v>270</v>
      </c>
      <c r="D8" s="2" t="s">
        <v>271</v>
      </c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</row>
    <row r="9" spans="1:17">
      <c r="A9" s="2"/>
      <c r="B9" s="2"/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</row>
    <row r="10" spans="1:17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</row>
    <row r="11" spans="1:17">
      <c r="A11" s="2"/>
      <c r="B11" s="2"/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</row>
    <row r="12" spans="1:17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</row>
    <row r="13" spans="1:17">
      <c r="A13" s="2"/>
      <c r="B13" s="2"/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</row>
    <row r="14" spans="1:17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</row>
    <row r="15" spans="1:17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</row>
    <row r="16" spans="1:17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</row>
    <row r="17" spans="1: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</row>
    <row r="18" spans="1:17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</row>
    <row r="19" spans="1:17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</row>
    <row r="20" spans="1:17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</row>
    <row r="21" spans="1:17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</row>
    <row r="22" spans="1:17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</row>
    <row r="23" spans="1:17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</row>
    <row r="24" spans="1:17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</row>
    <row r="25" spans="1:17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</row>
    <row r="26" spans="1:17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</row>
    <row r="27" spans="1:1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</row>
    <row r="28" spans="1:17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</row>
    <row r="29" spans="1:17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</row>
    <row r="30" spans="1:17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</row>
    <row r="31" spans="1:17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</row>
    <row r="32" spans="1:17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</row>
    <row r="33" spans="1:17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</row>
    <row r="34" spans="1:17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</row>
    <row r="35" spans="1:17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</row>
    <row r="36" spans="1:17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</row>
    <row r="37" spans="1:1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</row>
    <row r="38" spans="1:17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</row>
    <row r="39" spans="1:17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</row>
    <row r="40" spans="1:17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</row>
    <row r="41" spans="1:17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</row>
    <row r="42" spans="1:17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</row>
    <row r="43" spans="1:17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</row>
    <row r="44" spans="1:17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</row>
    <row r="45" spans="1:17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</row>
    <row r="46" spans="1:17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</row>
    <row r="47" spans="1:1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</row>
    <row r="48" spans="1:17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</row>
    <row r="49" spans="1:17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</row>
    <row r="50" spans="1:17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</row>
    <row r="51" spans="1:17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</row>
    <row r="52" spans="1:17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spans="1:17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spans="1:17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spans="1:17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spans="1:17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spans="1:1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spans="1:17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spans="1:17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spans="1:17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01_Dashboard</vt:lpstr>
      <vt:lpstr>02_Build</vt:lpstr>
      <vt:lpstr>03_Layout_Designer</vt:lpstr>
      <vt:lpstr>04_Shade_Optimizer</vt:lpstr>
      <vt:lpstr>05_Design_Review</vt:lpstr>
      <vt:lpstr>DB_Panels</vt:lpstr>
      <vt:lpstr>DB_Inverters</vt:lpstr>
      <vt:lpstr>DB_Batteries</vt:lpstr>
      <vt:lpstr>DB_Lists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Michael Silveus</cp:lastModifiedBy>
  <dcterms:modified xsi:type="dcterms:W3CDTF">2026-06-30T22:12:52Z</dcterms:modified>
</cp:coreProperties>
</file>